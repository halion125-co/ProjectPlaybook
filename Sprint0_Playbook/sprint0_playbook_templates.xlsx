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d47a33f19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833a169448d444d3"/>
    <x:sheet xmlns:r="http://schemas.openxmlformats.org/officeDocument/2006/relationships" name="01_ActivityMap" sheetId="2" r:id="R2cddc6b84f6d478d"/>
    <x:sheet xmlns:r="http://schemas.openxmlformats.org/officeDocument/2006/relationships" name="02_Sprint0Plan" sheetId="3" r:id="R5b9eb5007855467b"/>
    <x:sheet xmlns:r="http://schemas.openxmlformats.org/officeDocument/2006/relationships" name="03_BriefScope" sheetId="4" r:id="R1c6e19291d834bd7"/>
    <x:sheet xmlns:r="http://schemas.openxmlformats.org/officeDocument/2006/relationships" name="04_Backlog" sheetId="5" r:id="R1baa406814e74025"/>
    <x:sheet xmlns:r="http://schemas.openxmlformats.org/officeDocument/2006/relationships" name="05_RACI" sheetId="6" r:id="Rf09bf832534b4be7"/>
    <x:sheet xmlns:r="http://schemas.openxmlformats.org/officeDocument/2006/relationships" name="06_CommCadence" sheetId="7" r:id="Ra1b5fa2880924cf0"/>
    <x:sheet xmlns:r="http://schemas.openxmlformats.org/officeDocument/2006/relationships" name="07_Deliverables" sheetId="8" r:id="Rf7c1f01854ce4c67"/>
    <x:sheet xmlns:r="http://schemas.openxmlformats.org/officeDocument/2006/relationships" name="08_Access" sheetId="9" r:id="R2e0bfa89d90f46da"/>
    <x:sheet xmlns:r="http://schemas.openxmlformats.org/officeDocument/2006/relationships" name="09_WoW_DoR_DoD" sheetId="10" r:id="R9fceda652eb94817"/>
    <x:sheet xmlns:r="http://schemas.openxmlformats.org/officeDocument/2006/relationships" name="10_Readiness_RAID" sheetId="11" r:id="Ree82fe8094eb4a86"/>
    <x:sheet xmlns:r="http://schemas.openxmlformats.org/officeDocument/2006/relationships" name="11_Day1Check" sheetId="12" r:id="R1c0862c63ebe4c62"/>
    <x:sheet xmlns:r="http://schemas.openxmlformats.org/officeDocument/2006/relationships" name="12_BP_Transfer" sheetId="13" r:id="Rb741f8a36f4e4848"/>
    <x:sheet xmlns:r="http://schemas.openxmlformats.org/officeDocument/2006/relationships" name="Lists" sheetId="14" r:id="R9723d7c67954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sz val="10"/>
      <x:color rgb="111827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EAF2F8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c7489effb4631" /><Relationship Type="http://schemas.openxmlformats.org/officeDocument/2006/relationships/theme" Target="/xl/theme/theme1.xml" Id="Rcf955c872d90491a" /><Relationship Type="http://schemas.openxmlformats.org/officeDocument/2006/relationships/sharedStrings" Target="/xl/sharedStrings.xml" Id="R41b7381f52fb44a9" /><Relationship Type="http://schemas.openxmlformats.org/officeDocument/2006/relationships/worksheet" Target="/xl/worksheets/sheet1.xml" Id="R833a169448d444d3" /><Relationship Type="http://schemas.openxmlformats.org/officeDocument/2006/relationships/worksheet" Target="/xl/worksheets/sheet2.xml" Id="R2cddc6b84f6d478d" /><Relationship Type="http://schemas.openxmlformats.org/officeDocument/2006/relationships/worksheet" Target="/xl/worksheets/sheet3.xml" Id="R5b9eb5007855467b" /><Relationship Type="http://schemas.openxmlformats.org/officeDocument/2006/relationships/worksheet" Target="/xl/worksheets/sheet4.xml" Id="R1c6e19291d834bd7" /><Relationship Type="http://schemas.openxmlformats.org/officeDocument/2006/relationships/worksheet" Target="/xl/worksheets/sheet5.xml" Id="R1baa406814e74025" /><Relationship Type="http://schemas.openxmlformats.org/officeDocument/2006/relationships/worksheet" Target="/xl/worksheets/sheet6.xml" Id="Rf09bf832534b4be7" /><Relationship Type="http://schemas.openxmlformats.org/officeDocument/2006/relationships/worksheet" Target="/xl/worksheets/sheet7.xml" Id="Ra1b5fa2880924cf0" /><Relationship Type="http://schemas.openxmlformats.org/officeDocument/2006/relationships/worksheet" Target="/xl/worksheets/sheet8.xml" Id="Rf7c1f01854ce4c67" /><Relationship Type="http://schemas.openxmlformats.org/officeDocument/2006/relationships/worksheet" Target="/xl/worksheets/sheet9.xml" Id="R2e0bfa89d90f46da" /><Relationship Type="http://schemas.openxmlformats.org/officeDocument/2006/relationships/worksheet" Target="/xl/worksheets/sheet10.xml" Id="R9fceda652eb94817" /><Relationship Type="http://schemas.openxmlformats.org/officeDocument/2006/relationships/worksheet" Target="/xl/worksheets/sheet11.xml" Id="Ree82fe8094eb4a86" /><Relationship Type="http://schemas.openxmlformats.org/officeDocument/2006/relationships/worksheet" Target="/xl/worksheets/sheet12.xml" Id="R1c0862c63ebe4c62" /><Relationship Type="http://schemas.openxmlformats.org/officeDocument/2006/relationships/worksheet" Target="/xl/worksheets/sheet13.xml" Id="Rb741f8a36f4e4848" /><Relationship Type="http://schemas.openxmlformats.org/officeDocument/2006/relationships/worksheet" Target="/xl/worksheets/sheet14.xml" Id="R9723d7c679544c69" /></Relationships>
</file>

<file path=xl/tables/table1.xml><?xml version="1.0" encoding="utf-8"?>
<x:table xmlns:x="http://schemas.openxmlformats.org/spreadsheetml/2006/main" id="1" name="ActivityMapTable" displayName="ActivityMapTable" ref="A4:I15" headerRowCount="1">
  <x:tableColumns count="9">
    <x:tableColumn id="1" name="No"/>
    <x:tableColumn id="2" name="원문 Activity"/>
    <x:tableColumn id="3" name="Playbook Activity명"/>
    <x:tableColumn id="4" name="주요 산출물"/>
    <x:tableColumn id="5" name="사업수행계획서 반영 Chapter"/>
    <x:tableColumn id="6" name="작성 가능 수준"/>
    <x:tableColumn id="7" name="Day 1 활용"/>
    <x:tableColumn id="8" name="기본 Owner"/>
    <x:tableColumn id="9" name="상태"/>
  </x:tableColumns>
  <x:tableStyleInfo name="TableStyleMedium2" showRowStripes="1"/>
</x:table>
</file>

<file path=xl/tables/table2.xml><?xml version="1.0" encoding="utf-8"?>
<x:table xmlns:x="http://schemas.openxmlformats.org/spreadsheetml/2006/main" id="2" name="Sprint0PlanTable" displayName="Sprint0PlanTable" ref="A4:H17" headerRowCount="1">
  <x:tableColumns count="8">
    <x:tableColumn id="1" name="구분"/>
    <x:tableColumn id="2" name="항목"/>
    <x:tableColumn id="3" name="작성값/결정값"/>
    <x:tableColumn id="4" name="Owner"/>
    <x:tableColumn id="5" name="Due Date"/>
    <x:tableColumn id="6" name="상태"/>
    <x:tableColumn id="7" name="Day1 필수"/>
    <x:tableColumn id="8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BriefTable" displayName="BriefTable" ref="A5:H12" headerRowCount="1">
  <x:tableColumns count="8">
    <x:tableColumn id="1" name="항목"/>
    <x:tableColumn id="2" name="작성값"/>
    <x:tableColumn id="3" name="근거/출처"/>
    <x:tableColumn id="4" name="Owner"/>
    <x:tableColumn id="5" name="상태"/>
    <x:tableColumn id="6" name="사업수행계획서 반영"/>
    <x:tableColumn id="7" name="Day1 필수"/>
    <x:tableColumn id="8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ScopeMatrixTable" displayName="ScopeMatrixTable" ref="A16:H23" headerRowCount="1">
  <x:tableColumns count="8">
    <x:tableColumn id="1" name="구분"/>
    <x:tableColumn id="2" name="범위 항목"/>
    <x:tableColumn id="3" name="In/Out/TBD"/>
    <x:tableColumn id="4" name="근거"/>
    <x:tableColumn id="5" name="Owner"/>
    <x:tableColumn id="6" name="상태"/>
    <x:tableColumn id="7" name="변경관리 필요"/>
    <x:tableColumn id="8" name="비고"/>
  </x:tableColumns>
  <x:tableStyleInfo name="TableStyleMedium2" showRowStripes="1"/>
</x:table>
</file>

<file path=xl/tables/table5.xml><?xml version="1.0" encoding="utf-8"?>
<x:table xmlns:x="http://schemas.openxmlformats.org/spreadsheetml/2006/main" id="5" name="BacklogTable" displayName="BacklogTable" ref="A4:K10" headerRowCount="1">
  <x:tableColumns count="11">
    <x:tableColumn id="1" name="ID"/>
    <x:tableColumn id="2" name="Epic/영역"/>
    <x:tableColumn id="3" name="User Story / Task"/>
    <x:tableColumn id="4" name="유형"/>
    <x:tableColumn id="5" name="우선순위"/>
    <x:tableColumn id="6" name="담당"/>
    <x:tableColumn id="7" name="Acceptance Criteria"/>
    <x:tableColumn id="8" name="DoR 상태"/>
    <x:tableColumn id="9" name="Sprint 1 후보"/>
    <x:tableColumn id="10" name="상태"/>
    <x:tableColumn id="11" name="의존성/비고"/>
  </x:tableColumns>
  <x:tableStyleInfo name="TableStyleMedium2" showRowStripes="1"/>
</x:table>
</file>

<file path=xl/tables/table6.xml><?xml version="1.0" encoding="utf-8"?>
<x:table xmlns:x="http://schemas.openxmlformats.org/spreadsheetml/2006/main" id="6" name="StakeholderTable" displayName="StakeholderTable" ref="A5:I14" headerRowCount="1">
  <x:tableColumns count="9">
    <x:tableColumn id="1" name="구분"/>
    <x:tableColumn id="2" name="역할"/>
    <x:tableColumn id="3" name="이름/부서"/>
    <x:tableColumn id="4" name="책임"/>
    <x:tableColumn id="5" name="참여 방식"/>
    <x:tableColumn id="6" name="연락 채널"/>
    <x:tableColumn id="7" name="승인 권한"/>
    <x:tableColumn id="8" name="상태"/>
    <x:tableColumn id="9" name="비고"/>
  </x:tableColumns>
  <x:tableStyleInfo name="TableStyleMedium2" showRowStripes="1"/>
</x:table>
</file>

<file path=xl/tables/table7.xml><?xml version="1.0" encoding="utf-8"?>
<x:table xmlns:x="http://schemas.openxmlformats.org/spreadsheetml/2006/main" id="7" name="RACITable" displayName="RACITable" ref="A18:L26" headerRowCount="1">
  <x:tableColumns count="12">
    <x:tableColumn id="1" name="활동"/>
    <x:tableColumn id="2" name="Sponsor"/>
    <x:tableColumn id="3" name="고객 PM"/>
    <x:tableColumn id="4" name="Product Owner"/>
    <x:tableColumn id="5" name="보안"/>
    <x:tableColumn id="6" name="인프라/환경"/>
    <x:tableColumn id="7" name="PM"/>
    <x:tableColumn id="8" name="Scrum Master"/>
    <x:tableColumn id="9" name="Architect"/>
    <x:tableColumn id="10" name="QA"/>
    <x:tableColumn id="11" name="PL/개발"/>
    <x:tableColumn id="12" name="비고"/>
  </x:tableColumns>
  <x:tableStyleInfo name="TableStyleMedium2" showRowStripes="1"/>
</x:table>
</file>

<file path=xl/tables/table8.xml><?xml version="1.0" encoding="utf-8"?>
<x:table xmlns:x="http://schemas.openxmlformats.org/spreadsheetml/2006/main" id="8" name="CommCadenceTable" displayName="CommCadenceTable" ref="A4:J14" headerRowCount="1">
  <x:tableColumns count="10">
    <x:tableColumn id="1" name="구분"/>
    <x:tableColumn id="2" name="회의체/활동"/>
    <x:tableColumn id="3" name="Agile 유지"/>
    <x:tableColumn id="4" name="목적"/>
    <x:tableColumn id="5" name="주기"/>
    <x:tableColumn id="6" name="주관"/>
    <x:tableColumn id="7" name="참석자"/>
    <x:tableColumn id="8" name="주요 산출물"/>
    <x:tableColumn id="9" name="상태"/>
    <x:tableColumn id="10" name="비고"/>
  </x:tableColumns>
  <x:tableStyleInfo name="TableStyleMedium2" showRowStripes="1"/>
</x:table>
</file>

<file path=xl/tables/table9.xml><?xml version="1.0" encoding="utf-8"?>
<x:table xmlns:x="http://schemas.openxmlformats.org/spreadsheetml/2006/main" id="9" name="DeliverablesTable" displayName="DeliverablesTable" ref="A4:J16" headerRowCount="1">
  <x:tableColumns count="10">
    <x:tableColumn id="1" name="단계"/>
    <x:tableColumn id="2" name="산출물"/>
    <x:tableColumn id="3" name="유형"/>
    <x:tableColumn id="4" name="작성자"/>
    <x:tableColumn id="5" name="검토자"/>
    <x:tableColumn id="6" name="승인자"/>
    <x:tableColumn id="7" name="제출 시점"/>
    <x:tableColumn id="8" name="Acceptance Criteria"/>
    <x:tableColumn id="9" name="상태"/>
    <x:tableColumn id="10" name="비고"/>
  </x:tableColumns>
  <x:tableStyleInfo name="TableStyleMedium2" showRowStripes="1"/>
</x:table>
</file>

<file path=xl/tables/table10.xml><?xml version="1.0" encoding="utf-8"?>
<x:table xmlns:x="http://schemas.openxmlformats.org/spreadsheetml/2006/main" id="10" name="AccessTable" displayName="AccessTable" ref="A4:L13" headerRowCount="1">
  <x:tableColumns count="12">
    <x:tableColumn id="1" name="영역"/>
    <x:tableColumn id="2" name="도구/환경/시스템"/>
    <x:tableColumn id="3" name="용도"/>
    <x:tableColumn id="4" name="대상자"/>
    <x:tableColumn id="5" name="권한수준"/>
    <x:tableColumn id="6" name="요청자"/>
    <x:tableColumn id="7" name="승인자"/>
    <x:tableColumn id="8" name="필요일"/>
    <x:tableColumn id="9" name="상태"/>
    <x:tableColumn id="10" name="Day1 필수"/>
    <x:tableColumn id="11" name="관련 Risk ID"/>
    <x:tableColumn id="12" name="비고"/>
  </x:tableColumns>
  <x:tableStyleInfo name="TableStyleMedium2" showRowStripes="1"/>
</x:table>
</file>

<file path=xl/tables/table11.xml><?xml version="1.0" encoding="utf-8"?>
<x:table xmlns:x="http://schemas.openxmlformats.org/spreadsheetml/2006/main" id="11" name="WorkingAgreementTable" displayName="WorkingAgreementTable" ref="A5:G12" headerRowCount="1">
  <x:tableColumns count="7">
    <x:tableColumn id="1" name="항목"/>
    <x:tableColumn id="2" name="합의 내용"/>
    <x:tableColumn id="3" name="사업수행계획서 반영"/>
    <x:tableColumn id="4" name="Owner"/>
    <x:tableColumn id="5" name="상태"/>
    <x:tableColumn id="6" name="Day1 필수"/>
    <x:tableColumn id="7" name="비고"/>
  </x:tableColumns>
  <x:tableStyleInfo name="TableStyleMedium2" showRowStripes="1"/>
</x:table>
</file>

<file path=xl/tables/table12.xml><?xml version="1.0" encoding="utf-8"?>
<x:table xmlns:x="http://schemas.openxmlformats.org/spreadsheetml/2006/main" id="12" name="DoRDoDTable" displayName="DoRDoDTable" ref="A16:G27" headerRowCount="1">
  <x:tableColumns count="7">
    <x:tableColumn id="1" name="구분"/>
    <x:tableColumn id="2" name="기준 항목"/>
    <x:tableColumn id="3" name="기준 내용"/>
    <x:tableColumn id="4" name="필수 여부"/>
    <x:tableColumn id="5" name="상태"/>
    <x:tableColumn id="6" name="Owner"/>
    <x:tableColumn id="7" name="비고"/>
  </x:tableColumns>
  <x:tableStyleInfo name="TableStyleMedium2" showRowStripes="1"/>
</x:table>
</file>

<file path=xl/tables/table13.xml><?xml version="1.0" encoding="utf-8"?>
<x:table xmlns:x="http://schemas.openxmlformats.org/spreadsheetml/2006/main" id="13" name="ReadinessTable" displayName="ReadinessTable" ref="A5:J13" headerRowCount="1">
  <x:tableColumns count="10">
    <x:tableColumn id="1" name="영역"/>
    <x:tableColumn id="2" name="점검 항목"/>
    <x:tableColumn id="3" name="Day1 필수"/>
    <x:tableColumn id="4" name="상태"/>
    <x:tableColumn id="5" name="Owner"/>
    <x:tableColumn id="6" name="Due Date"/>
    <x:tableColumn id="7" name="Risk 전환"/>
    <x:tableColumn id="8" name="관련 Chapter"/>
    <x:tableColumn id="9" name="Evidence/근거"/>
    <x:tableColumn id="10" name="비고"/>
  </x:tableColumns>
  <x:tableStyleInfo name="TableStyleMedium2" showRowStripes="1"/>
</x:table>
</file>

<file path=xl/tables/table14.xml><?xml version="1.0" encoding="utf-8"?>
<x:table xmlns:x="http://schemas.openxmlformats.org/spreadsheetml/2006/main" id="14" name="RAIDTable" displayName="RAIDTable" ref="A17:K20" headerRowCount="1">
  <x:tableColumns count="11">
    <x:tableColumn id="1" name="ID"/>
    <x:tableColumn id="2" name="유형"/>
    <x:tableColumn id="3" name="내용"/>
    <x:tableColumn id="4" name="영향도"/>
    <x:tableColumn id="5" name="가능성"/>
    <x:tableColumn id="6" name="등급"/>
    <x:tableColumn id="7" name="Owner"/>
    <x:tableColumn id="8" name="대응계획"/>
    <x:tableColumn id="9" name="Due Date"/>
    <x:tableColumn id="10" name="상태"/>
    <x:tableColumn id="11" name="관련 Chapter"/>
  </x:tableColumns>
  <x:tableStyleInfo name="TableStyleMedium2" showRowStripes="1"/>
</x:table>
</file>

<file path=xl/tables/table15.xml><?xml version="1.0" encoding="utf-8"?>
<x:table xmlns:x="http://schemas.openxmlformats.org/spreadsheetml/2006/main" id="15" name="DecisionTable" displayName="DecisionTable" ref="A24:J26" headerRowCount="1">
  <x:tableColumns count="10">
    <x:tableColumn id="1" name="ID"/>
    <x:tableColumn id="2" name="결정 필요사항"/>
    <x:tableColumn id="3" name="선택지"/>
    <x:tableColumn id="4" name="결정자"/>
    <x:tableColumn id="5" name="결정 필요일"/>
    <x:tableColumn id="6" name="상태"/>
    <x:tableColumn id="7" name="결정 내용"/>
    <x:tableColumn id="8" name="후속조치"/>
    <x:tableColumn id="9" name="관련 Backlog"/>
    <x:tableColumn id="10" name="관련 Chapter"/>
  </x:tableColumns>
  <x:tableStyleInfo name="TableStyleMedium2" showRowStripes="1"/>
</x:table>
</file>

<file path=xl/tables/table16.xml><?xml version="1.0" encoding="utf-8"?>
<x:table xmlns:x="http://schemas.openxmlformats.org/spreadsheetml/2006/main" id="16" name="Day1ChecklistTable" displayName="Day1ChecklistTable" ref="A11:K23" headerRowCount="1">
  <x:tableColumns count="11">
    <x:tableColumn id="1" name="영역"/>
    <x:tableColumn id="2" name="점검 항목"/>
    <x:tableColumn id="3" name="상태"/>
    <x:tableColumn id="4" name="판정"/>
    <x:tableColumn id="5" name="Day1 필수"/>
    <x:tableColumn id="6" name="Owner"/>
    <x:tableColumn id="7" name="Due Date"/>
    <x:tableColumn id="8" name="Evidence/근거"/>
    <x:tableColumn id="9" name="관련 산출물"/>
    <x:tableColumn id="10" name="관련 Chapter"/>
    <x:tableColumn id="11" name="비고"/>
  </x:tableColumns>
  <x:tableStyleInfo name="TableStyleMedium2" showRowStripes="1"/>
</x:table>
</file>

<file path=xl/tables/table17.xml><?xml version="1.0" encoding="utf-8"?>
<x:table xmlns:x="http://schemas.openxmlformats.org/spreadsheetml/2006/main" id="17" name="BPTransferTable" displayName="BPTransferTable" ref="A4:J25" headerRowCount="1">
  <x:tableColumns count="10">
    <x:tableColumn id="1" name="Chapter"/>
    <x:tableColumn id="2" name="Chapter명"/>
    <x:tableColumn id="3" name="Sprint 0 입력/산출물"/>
    <x:tableColumn id="4" name="작성 가능 수준"/>
    <x:tableColumn id="5" name="생성 방식"/>
    <x:tableColumn id="6" name="담당"/>
    <x:tableColumn id="7" name="상태"/>
    <x:tableColumn id="8" name="보완 필요사항"/>
    <x:tableColumn id="9" name="보완 시점"/>
    <x:tableColumn id="10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8caa0e772446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14f682e86b41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2abc9ac56441c8" /><Relationship Type="http://schemas.openxmlformats.org/officeDocument/2006/relationships/table" Target="/xl/tables/table4.xml" Id="R7ab15c6ade2e46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4ae0295be4740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81d3d48616472e" /><Relationship Type="http://schemas.openxmlformats.org/officeDocument/2006/relationships/table" Target="/xl/tables/table7.xml" Id="Rcb43e1115cdb4a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144437f03c347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a57aa34c6bed4d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028652921e5f41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66816d92fbfe4f06" /><Relationship Type="http://schemas.openxmlformats.org/officeDocument/2006/relationships/table" Target="/xl/tables/table12.xml" Id="Rbb0a0e8f39184a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c16bf90637c54045" /><Relationship Type="http://schemas.openxmlformats.org/officeDocument/2006/relationships/table" Target="/xl/tables/table14.xml" Id="R7929887d80184af6" /><Relationship Type="http://schemas.openxmlformats.org/officeDocument/2006/relationships/table" Target="/xl/tables/table15.xml" Id="R46119da8cb6144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6.xml" Id="Rc2f83e04260243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7.xml" Id="R4ab6dc214b36429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5" hidden="0" customWidth="1"/>
    <x:col min="3" max="3" width="25" hidden="0" customWidth="1"/>
    <x:col min="4" max="4" width="35" hidden="0" customWidth="1"/>
  </x:cols>
  <x:sheetData>
    <x:row r="1" ht="28" customHeight="1">
      <x:c r="A1" s="42" t="str">
        <x:v>Sprint 0 Playbook 산출물 템플릿 Pack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AX 프로젝트의 Hybrid 수행을 위해 Sprint 0에서 정리하고 Day 1에서 사용하는 실행형 산출물 모음입니다. 사업수행계획서 전체를 대체하지 않고, 사업수행계획서에 반영될 실행 입력값과 착수 준비도를 관리합니다.</x:v>
      </x:c>
    </x:row>
    <x:row r="4">
      <x:c r="A4" s="20" t="str">
        <x:v>구분</x:v>
      </x:c>
      <x:c r="B4" s="20" t="str">
        <x:v>내용</x:v>
      </x:c>
      <x:c r="C4" s="20" t="str">
        <x:v>사용 시점</x:v>
      </x:c>
      <x:c r="D4" s="20" t="str">
        <x:v>결과물</x:v>
      </x:c>
    </x:row>
    <x:row r="5">
      <x:c r="A5" s="27" t="str">
        <x:v>목적</x:v>
      </x:c>
      <x:c r="B5" s="27" t="str">
        <x:v>Sprint 0에서 목표·범위·역할·산출물·운영주기·접근권한·위험을 정리하여 본수행 착수 가능 여부를 판단</x:v>
      </x:c>
      <x:c r="C5" s="27" t="str">
        <x:v>Pre-Sprint 0 ~ Day 1</x:v>
      </x:c>
      <x:c r="D5" s="27" t="str">
        <x:v>착수 가능 / 조건부 착수 / 착수 보류 판단</x:v>
      </x:c>
    </x:row>
    <x:row r="6">
      <x:c r="A6" s="27" t="str">
        <x:v>Agile 유지 원칙</x:v>
      </x:c>
      <x:c r="B6" s="27" t="str">
        <x:v>Sprint 0, Sprint, Backlog, Product Owner, Scrum Master, DoR, DoD, Acceptance Criteria 등 Agile 실행 용어는 유지</x:v>
      </x:c>
      <x:c r="C6" s="27" t="str">
        <x:v>전체</x:v>
      </x:c>
      <x:c r="D6" s="27" t="str">
        <x:v>Hybrid 수행체계 유지</x:v>
      </x:c>
    </x:row>
    <x:row r="7">
      <x:c r="A7" s="27" t="str">
        <x:v>수행계획서 연계</x:v>
      </x:c>
      <x:c r="B7" s="27" t="str">
        <x:v>사업수행계획서의 추진체계, 추진절차, 산출물계획, 일정계획, 품질관리, 의사소통관리, 위험관리 등에 반영</x:v>
      </x:c>
      <x:c r="C7" s="27" t="str">
        <x:v>Sprint 0 종료 후</x:v>
      </x:c>
      <x:c r="D7" s="27" t="str">
        <x:v>사업수행계획서 초안 보강</x:v>
      </x:c>
    </x:row>
    <x:row r="8">
      <x:c r="A8" s="27" t="str">
        <x:v>Day 1 활용</x:v>
      </x:c>
      <x:c r="B8" s="27" t="str">
        <x:v>각 시트의 상태, Owner, Due Date, 필수 여부를 기준으로 본수행 착수 가능성 판단</x:v>
      </x:c>
      <x:c r="C8" s="27" t="str">
        <x:v>Day 1</x:v>
      </x:c>
      <x:c r="D8" s="27" t="str">
        <x:v>Day 1 Readiness Report</x:v>
      </x:c>
    </x:row>
    <x:row r="11">
      <x:c r="A11" s="20" t="str">
        <x:v>권장 운영 흐름</x:v>
      </x:c>
      <x:c r="B11" s="20" t="str">
        <x:v>주요 작업</x:v>
      </x:c>
      <x:c r="C11" s="20" t="str">
        <x:v>작성 책임</x:v>
      </x:c>
    </x:row>
    <x:row r="12">
      <x:c r="A12" s="27" t="str">
        <x:v>1. Pre-Sprint 0</x:v>
      </x:c>
      <x:c r="B12" s="27" t="str">
        <x:v>제안서/계약/사업수행계획서 템플릿 기반으로 초안 준비</x:v>
      </x:c>
      <x:c r="C12" s="27" t="str">
        <x:v>PM, PL, QA, Architect</x:v>
      </x:c>
    </x:row>
    <x:row r="13">
      <x:c r="A13" s="27" t="str">
        <x:v>2. Sprint 0</x:v>
      </x:c>
      <x:c r="B13" s="27" t="str">
        <x:v>Activity별 템플릿 검토, 미결사항 및 위험 식별</x:v>
      </x:c>
      <x:c r="C13" s="27" t="str">
        <x:v>Core Team</x:v>
      </x:c>
    </x:row>
    <x:row r="14">
      <x:c r="A14" s="27" t="str">
        <x:v>3. Kick-off/착수회의</x:v>
      </x:c>
      <x:c r="B14" s="27" t="str">
        <x:v>목표, 범위, 조직, 운영방식, 산출물 기준 공식 공유</x:v>
      </x:c>
      <x:c r="C14" s="27" t="str">
        <x:v>PM, 고객 PM, Sponsor</x:v>
      </x:c>
    </x:row>
    <x:row r="15">
      <x:c r="A15" s="27" t="str">
        <x:v>4. Day 1</x:v>
      </x:c>
      <x:c r="B15" s="27" t="str">
        <x:v>착수 준비도 점검, Go/Conditional Go/No-Go 판단</x:v>
      </x:c>
      <x:c r="C15" s="27" t="str">
        <x:v>PM, 고객 PM, 주요 리더</x:v>
      </x:c>
    </x:row>
    <x:row r="18">
      <x:c r="A18" s="30" t="str">
        <x:v>참조</x:v>
      </x:c>
      <x:c r="B18" t="str">
        <x:v>AXE Delivery Framework v1.0: https://share.xhoto.com/deliveryframework/axe-delivery-framework_v1.html</x:v>
      </x:c>
    </x:row>
    <x:row r="19">
      <x:c r="B19" t="str">
        <x:v>AXD 사업수행계획서 템플릿: 사용자 제공 문서 KTAXD-3.1-04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4" hidden="0" customWidth="1"/>
    <x:col min="3" max="3" width="30" hidden="0" customWidth="1"/>
    <x:col min="4" max="4" width="44" hidden="0" customWidth="1"/>
    <x:col min="5" max="5" width="42" hidden="0" customWidth="1"/>
    <x:col min="6" max="6" width="16" hidden="0" customWidth="1"/>
    <x:col min="7" max="7" width="28" hidden="0" customWidth="1"/>
    <x:col min="8" max="8" width="22" hidden="0" customWidth="1"/>
    <x:col min="9" max="9" width="14" hidden="0" customWidth="1"/>
  </x:cols>
  <x:sheetData>
    <x:row r="1" ht="28" customHeight="1">
      <x:c r="A1" s="42" t="str">
        <x:v>Sprint 0 Activity와 산출물 매핑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AXE Initiate 구조를 AXD 사업수행계획서 용어로 전환한 Activity별 산출물 정의입니다. Agile 실행 용어는 유지합니다.</x:v>
      </x:c>
    </x:row>
    <x:row r="4">
      <x:c r="A4" s="20" t="str">
        <x:v>No</x:v>
      </x:c>
      <x:c r="B4" s="20" t="str">
        <x:v>원문 Activity</x:v>
      </x:c>
      <x:c r="C4" s="20" t="str">
        <x:v>Playbook Activity명</x:v>
      </x:c>
      <x:c r="D4" s="20" t="str">
        <x:v>주요 산출물</x:v>
      </x:c>
      <x:c r="E4" s="20" t="str">
        <x:v>사업수행계획서 반영 Chapter</x:v>
      </x:c>
      <x:c r="F4" s="20" t="str">
        <x:v>작성 가능 수준</x:v>
      </x:c>
      <x:c r="G4" s="20" t="str">
        <x:v>Day 1 활용</x:v>
      </x:c>
      <x:c r="H4" s="20" t="str">
        <x:v>기본 Owner</x:v>
      </x:c>
      <x:c r="I4" s="20" t="str">
        <x:v>상태</x:v>
      </x:c>
    </x:row>
    <x:row r="5">
      <x:c r="A5" s="27" t="n">
        <x:v>1</x:v>
      </x:c>
      <x:c r="B5" s="27" t="str">
        <x:v>Sprint 0</x:v>
      </x:c>
      <x:c r="C5" s="27" t="str">
        <x:v>Sprint 0 착수 준비</x:v>
      </x:c>
      <x:c r="D5" s="27" t="str">
        <x:v>Sprint 0 계획, 초기 Backlog, DoR/DoD, 미결사항 목록</x:v>
      </x:c>
      <x:c r="E5" s="27" t="str">
        <x:v>6. 사업 추진 절차; 8. 일정 계획; 11. 품질관리 계획; 14. 위험관리 계획</x:v>
      </x:c>
      <x:c r="F5" s="27" t="str">
        <x:v>초안 가능</x:v>
      </x:c>
      <x:c r="G5" s="27" t="str">
        <x:v>운영 메커니즘 기준선</x:v>
      </x:c>
      <x:c r="H5" s="27" t="str">
        <x:v>PM / Scrum Master</x:v>
      </x:c>
      <x:c r="I5" s="27" t="str">
        <x:v>미시작</x:v>
      </x:c>
    </x:row>
    <x:row r="6">
      <x:c r="A6" s="27" t="n">
        <x:v>2</x:v>
      </x:c>
      <x:c r="B6" s="27" t="str">
        <x:v>Communication Management</x:v>
      </x:c>
      <x:c r="C6" s="27" t="str">
        <x:v>의사소통관리 계획 수립</x:v>
      </x:c>
      <x:c r="D6" s="27" t="str">
        <x:v>의사소통관리 계획표, 회의체 운영계획, Action Item 관리대장</x:v>
      </x:c>
      <x:c r="E6" s="27" t="str">
        <x:v>13. 의사소통관리 계획; 14. 위험관리 계획</x:v>
      </x:c>
      <x:c r="F6" s="27" t="str">
        <x:v>확정 가능</x:v>
      </x:c>
      <x:c r="G6" s="27" t="str">
        <x:v>보고·회의·Escalation 기준</x:v>
      </x:c>
      <x:c r="H6" s="27" t="str">
        <x:v>PM / 사업관리</x:v>
      </x:c>
      <x:c r="I6" s="27" t="str">
        <x:v>미시작</x:v>
      </x:c>
    </x:row>
    <x:row r="7">
      <x:c r="A7" s="27" t="n">
        <x:v>3</x:v>
      </x:c>
      <x:c r="B7" s="27" t="str">
        <x:v>Team Onboarding</x:v>
      </x:c>
      <x:c r="C7" s="27" t="str">
        <x:v>수행팀 투입 및 착수교육</x:v>
      </x:c>
      <x:c r="D7" s="27" t="str">
        <x:v>참여인력 목록, 역할표, 비상연락망, 착수교육/보안교육 이력</x:v>
      </x:c>
      <x:c r="E7" s="27" t="str">
        <x:v>5. 사업 추진 체계; 12. 인력관리 계획; 18. 보안 대책; 20. 교육 계획</x:v>
      </x:c>
      <x:c r="F7" s="27" t="str">
        <x:v>일부 가능</x:v>
      </x:c>
      <x:c r="G7" s="27" t="str">
        <x:v>팀 투입 가능성 확인</x:v>
      </x:c>
      <x:c r="H7" s="27" t="str">
        <x:v>PM / 사업관리</x:v>
      </x:c>
      <x:c r="I7" s="27" t="str">
        <x:v>미시작</x:v>
      </x:c>
    </x:row>
    <x:row r="8">
      <x:c r="A8" s="27" t="n">
        <x:v>4</x:v>
      </x:c>
      <x:c r="B8" s="27" t="str">
        <x:v>Deliverable Acceptance</x:v>
      </x:c>
      <x:c r="C8" s="27" t="str">
        <x:v>산출물 검토·승인 기준 정의</x:v>
      </x:c>
      <x:c r="D8" s="27" t="str">
        <x:v>산출물 검토·승인 Matrix, 산출물 Acceptance Criteria</x:v>
      </x:c>
      <x:c r="E8" s="27" t="str">
        <x:v>7. 산출물 계획; 11. 품질관리 계획</x:v>
      </x:c>
      <x:c r="F8" s="27" t="str">
        <x:v>확정 가능</x:v>
      </x:c>
      <x:c r="G8" s="27" t="str">
        <x:v>산출물 승인 준비도 확인</x:v>
      </x:c>
      <x:c r="H8" s="27" t="str">
        <x:v>PM / QA</x:v>
      </x:c>
      <x:c r="I8" s="27" t="str">
        <x:v>미시작</x:v>
      </x:c>
    </x:row>
    <x:row r="9">
      <x:c r="A9" s="27" t="n">
        <x:v>5</x:v>
      </x:c>
      <x:c r="B9" s="27" t="str">
        <x:v>Program Cadence</x:v>
      </x:c>
      <x:c r="C9" s="27" t="str">
        <x:v>프로젝트 운영 주기 수립</x:v>
      </x:c>
      <x:c r="D9" s="27" t="str">
        <x:v>프로젝트 운영 일정표, Sprint 일정, 보고/회의 주기</x:v>
      </x:c>
      <x:c r="E9" s="27" t="str">
        <x:v>8. 일정 계획; 13. 의사소통관리 계획; 11. 품질관리 계획</x:v>
      </x:c>
      <x:c r="F9" s="27" t="str">
        <x:v>초안 가능</x:v>
      </x:c>
      <x:c r="G9" s="27" t="str">
        <x:v>본수행 운영 리듬 확인</x:v>
      </x:c>
      <x:c r="H9" s="27" t="str">
        <x:v>PM / Scrum Master</x:v>
      </x:c>
      <x:c r="I9" s="27" t="str">
        <x:v>미시작</x:v>
      </x:c>
    </x:row>
    <x:row r="10">
      <x:c r="A10" s="27" t="n">
        <x:v>6</x:v>
      </x:c>
      <x:c r="B10" s="27" t="str">
        <x:v>Tooling &amp; Access</x:v>
      </x:c>
      <x:c r="C10" s="27" t="str">
        <x:v>환경·도구·접근권한 준비</x:v>
      </x:c>
      <x:c r="D10" s="27" t="str">
        <x:v>환경·도구·접근권한 점검표, 저장소 권한 목록</x:v>
      </x:c>
      <x:c r="E10" s="27" t="str">
        <x:v>15. 형상관리 계획; 16. 백업관리 계획; 18. 보안 대책</x:v>
      </x:c>
      <x:c r="F10" s="27" t="str">
        <x:v>일부 가능</x:v>
      </x:c>
      <x:c r="G10" s="27" t="str">
        <x:v>작업 가능 여부 확인</x:v>
      </x:c>
      <x:c r="H10" s="27" t="str">
        <x:v>Architect / 고객 IT</x:v>
      </x:c>
      <x:c r="I10" s="27" t="str">
        <x:v>미시작</x:v>
      </x:c>
    </x:row>
    <x:row r="11">
      <x:c r="A11" s="27" t="n">
        <x:v>7</x:v>
      </x:c>
      <x:c r="B11" s="27" t="str">
        <x:v>Ways of Working</x:v>
      </x:c>
      <x:c r="C11" s="27" t="str">
        <x:v>프로젝트 수행방식 합의</x:v>
      </x:c>
      <x:c r="D11" s="27" t="str">
        <x:v>Working Agreement, Backlog 관리 기준, 결함/이슈 처리 기준</x:v>
      </x:c>
      <x:c r="E11" s="27" t="str">
        <x:v>6. 사업 추진 절차; 10. 변경관리 계획; 11. 품질관리 계획; 13. 의사소통관리 계획</x:v>
      </x:c>
      <x:c r="F11" s="27" t="str">
        <x:v>초안 가능</x:v>
      </x:c>
      <x:c r="G11" s="27" t="str">
        <x:v>팀 운영 규칙 확인</x:v>
      </x:c>
      <x:c r="H11" s="27" t="str">
        <x:v>Scrum Master / PM</x:v>
      </x:c>
      <x:c r="I11" s="27" t="str">
        <x:v>미시작</x:v>
      </x:c>
    </x:row>
    <x:row r="12">
      <x:c r="A12" s="27" t="n">
        <x:v>8</x:v>
      </x:c>
      <x:c r="B12" s="27" t="str">
        <x:v>Launch Ready Planning</x:v>
      </x:c>
      <x:c r="C12" s="27" t="str">
        <x:v>오픈·전환 준비계획 수립</x:v>
      </x:c>
      <x:c r="D12" s="27" t="str">
        <x:v>오픈 준비 체크리스트, 전환 준비 체크리스트, 운영전환 준비사항</x:v>
      </x:c>
      <x:c r="E12" s="27" t="str">
        <x:v>8. 일정 계획; 20. 교육 계획; 21. 유지보수 계획</x:v>
      </x:c>
      <x:c r="F12" s="27" t="str">
        <x:v>초안 가능</x:v>
      </x:c>
      <x:c r="G12" s="27" t="str">
        <x:v>향후 전환 준비 항목 식별</x:v>
      </x:c>
      <x:c r="H12" s="27" t="str">
        <x:v>PM / 운영리더</x:v>
      </x:c>
      <x:c r="I12" s="27" t="str">
        <x:v>미시작</x:v>
      </x:c>
    </x:row>
    <x:row r="13">
      <x:c r="A13" s="27" t="n">
        <x:v>9</x:v>
      </x:c>
      <x:c r="B13" s="27" t="str">
        <x:v>Customerurity Assessment</x:v>
      </x:c>
      <x:c r="C13" s="27" t="str">
        <x:v>고객 준비도 및 보안성 점검</x:v>
      </x:c>
      <x:c r="D13" s="27" t="str">
        <x:v>고객 준비도 점검표, 보안 준비도 점검표, 고객 조치 필요사항</x:v>
      </x:c>
      <x:c r="E13" s="27" t="str">
        <x:v>4. 사업 범위; 14. 위험관리 계획; 18. 보안 대책</x:v>
      </x:c>
      <x:c r="F13" s="27" t="str">
        <x:v>초안 가능</x:v>
      </x:c>
      <x:c r="G13" s="27" t="str">
        <x:v>착수 리스크 식별</x:v>
      </x:c>
      <x:c r="H13" s="27" t="str">
        <x:v>PM / 고객 PM / 보안</x:v>
      </x:c>
      <x:c r="I13" s="27" t="str">
        <x:v>미시작</x:v>
      </x:c>
    </x:row>
    <x:row r="14">
      <x:c r="A14" s="27" t="n">
        <x:v>10</x:v>
      </x:c>
      <x:c r="B14" s="27" t="str">
        <x:v>Kick Off</x:v>
      </x:c>
      <x:c r="C14" s="27" t="str">
        <x:v>착수보고 / 착수회의</x:v>
      </x:c>
      <x:c r="D14" s="27" t="str">
        <x:v>착수보고서, 착수회의록, 주요 합의사항, Action Item</x:v>
      </x:c>
      <x:c r="E14" s="27" t="str">
        <x:v>3. 추진 배경 및 목적; 5. 사업 추진 체계; 13. 의사소통관리 계획</x:v>
      </x:c>
      <x:c r="F14" s="27" t="str">
        <x:v>확정 가능</x:v>
      </x:c>
      <x:c r="G14" s="27" t="str">
        <x:v>공식 합의 및 Action 등록</x:v>
      </x:c>
      <x:c r="H14" s="27" t="str">
        <x:v>PM / 고객 PM</x:v>
      </x:c>
      <x:c r="I14" s="27" t="str">
        <x:v>미시작</x:v>
      </x:c>
    </x:row>
    <x:row r="15">
      <x:c r="A15" s="27" t="n">
        <x:v>11</x:v>
      </x:c>
      <x:c r="B15" s="27" t="str">
        <x:v>Day 1</x:v>
      </x:c>
      <x:c r="C15" s="27" t="str">
        <x:v>본수행 착수 점검</x:v>
      </x:c>
      <x:c r="D15" s="27" t="str">
        <x:v>착수 준비 완료 점검표, Go/Conditional Go/No-Go 판단, Open Item</x:v>
      </x:c>
      <x:c r="E15" s="27" t="str">
        <x:v>8. 일정 계획; 14. 위험관리 계획; 부록</x:v>
      </x:c>
      <x:c r="F15" s="27" t="str">
        <x:v>확정 가능</x:v>
      </x:c>
      <x:c r="G15" s="27" t="str">
        <x:v>본수행 착수 판단</x:v>
      </x:c>
      <x:c r="H15" s="27" t="str">
        <x:v>PM / 고객 PM</x:v>
      </x:c>
      <x:c r="I15" s="27" t="str">
        <x:v>미시작</x:v>
      </x:c>
    </x:row>
  </x:sheetData>
  <x:mergeCells>
    <x:mergeCell ref="A1:I1"/>
    <x:mergeCell ref="A2:I2"/>
  </x:mergeCells>
  <x:dataValidations count="2">
    <x:dataValidation type="list" sqref="F5:F15">
      <x:formula1>"확정 가능,초안 가능,일부 가능,별도 필요,테일러링 필요"</x:formula1>
    </x:dataValidation>
    <x:dataValidation type="list" sqref="I5:I15">
      <x:formula1>"미시작,진행중,완료,지연,미완료,예외승인,해당없음"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8caa0e772446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5" hidden="0" customWidth="1"/>
    <x:col min="4" max="4" width="20" hidden="0" customWidth="1"/>
    <x:col min="5" max="5" width="14" hidden="0" customWidth="1"/>
    <x:col min="6" max="6" width="14" hidden="0" customWidth="1"/>
    <x:col min="7" max="7" width="12" hidden="0" customWidth="1"/>
    <x:col min="8" max="8" width="35" hidden="0" customWidth="1"/>
  </x:cols>
  <x:sheetData>
    <x:row r="1" ht="28" customHeight="1">
      <x:c r="A1" s="42" t="str">
        <x:v>Sprint 0 착수 준비계획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Sprint 0 기간 동안 무엇을 확인하고, 누가 결정하며, Day 1까지 어떤 상태가 되어야 하는지 정의합니다.</x:v>
      </x:c>
    </x:row>
    <x:row r="4">
      <x:c r="A4" s="20" t="str">
        <x:v>구분</x:v>
      </x:c>
      <x:c r="B4" s="20" t="str">
        <x:v>항목</x:v>
      </x:c>
      <x:c r="C4" s="20" t="str">
        <x:v>작성값/결정값</x:v>
      </x:c>
      <x:c r="D4" s="20" t="str">
        <x:v>Owner</x:v>
      </x:c>
      <x:c r="E4" s="20" t="str">
        <x:v>Due Date</x:v>
      </x:c>
      <x:c r="F4" s="20" t="str">
        <x:v>상태</x:v>
      </x:c>
      <x:c r="G4" s="20" t="str">
        <x:v>Day1 필수</x:v>
      </x:c>
      <x:c r="H4" s="20" t="str">
        <x:v>비고</x:v>
      </x:c>
    </x:row>
    <x:row r="5">
      <x:c r="A5" s="27" t="str">
        <x:v>프로젝트 기본</x:v>
      </x:c>
      <x:c r="B5" s="27" t="str">
        <x:v>프로젝트명</x:v>
      </x:c>
      <x:c r="C5" s="27" t="str"/>
      <x:c r="D5" s="27" t="str">
        <x:v>PM</x:v>
      </x:c>
      <x:c r="E5" s="27" t="str"/>
      <x:c r="F5" s="27" t="str">
        <x:v>미시작</x:v>
      </x:c>
      <x:c r="G5" s="27" t="str">
        <x:v>Y</x:v>
      </x:c>
      <x:c r="H5" s="27" t="str">
        <x:v>사업수행계획서 1장 반영</x:v>
      </x:c>
    </x:row>
    <x:row r="6">
      <x:c r="A6" s="27" t="str">
        <x:v>프로젝트 기본</x:v>
      </x:c>
      <x:c r="B6" s="27" t="str">
        <x:v>사업기간</x:v>
      </x:c>
      <x:c r="C6" s="27" t="str"/>
      <x:c r="D6" s="27" t="str">
        <x:v>PM</x:v>
      </x:c>
      <x:c r="E6" s="27" t="str"/>
      <x:c r="F6" s="27" t="str">
        <x:v>미시작</x:v>
      </x:c>
      <x:c r="G6" s="27" t="str">
        <x:v>Y</x:v>
      </x:c>
      <x:c r="H6" s="27" t="str">
        <x:v>계약 기준</x:v>
      </x:c>
    </x:row>
    <x:row r="7">
      <x:c r="A7" s="27" t="str">
        <x:v>프로젝트 기본</x:v>
      </x:c>
      <x:c r="B7" s="27" t="str">
        <x:v>Sprint 0 기간</x:v>
      </x:c>
      <x:c r="C7" s="27" t="str"/>
      <x:c r="D7" s="27" t="str">
        <x:v>PM</x:v>
      </x:c>
      <x:c r="E7" s="27" t="str"/>
      <x:c r="F7" s="27" t="str">
        <x:v>미시작</x:v>
      </x:c>
      <x:c r="G7" s="27" t="str">
        <x:v>Y</x:v>
      </x:c>
      <x:c r="H7" s="27" t="str">
        <x:v>예: YYYY.MM.DD~YYYY.MM.DD</x:v>
      </x:c>
    </x:row>
    <x:row r="8">
      <x:c r="A8" s="27" t="str">
        <x:v>프로젝트 기본</x:v>
      </x:c>
      <x:c r="B8" s="27" t="str">
        <x:v>본수행 착수일</x:v>
      </x:c>
      <x:c r="C8" s="27" t="str"/>
      <x:c r="D8" s="27" t="str">
        <x:v>PM/고객 PM</x:v>
      </x:c>
      <x:c r="E8" s="27" t="str"/>
      <x:c r="F8" s="27" t="str">
        <x:v>미시작</x:v>
      </x:c>
      <x:c r="G8" s="27" t="str">
        <x:v>Y</x:v>
      </x:c>
      <x:c r="H8" s="27" t="str">
        <x:v>Day 1 기준일</x:v>
      </x:c>
    </x:row>
    <x:row r="9">
      <x:c r="A9" s="27" t="str">
        <x:v>방법론</x:v>
      </x:c>
      <x:c r="B9" s="27" t="str">
        <x:v>적용 방법론</x:v>
      </x:c>
      <x:c r="C9" s="27" t="str">
        <x:v>AXD 표준 방법론 + Agile/Hybrid 수행</x:v>
      </x:c>
      <x:c r="D9" s="27" t="str">
        <x:v>PM/QA</x:v>
      </x:c>
      <x:c r="E9" s="27" t="str"/>
      <x:c r="F9" s="27" t="str">
        <x:v>미시작</x:v>
      </x:c>
      <x:c r="G9" s="27" t="str">
        <x:v>Y</x:v>
      </x:c>
      <x:c r="H9" s="27" t="str">
        <x:v>6장 반영</x:v>
      </x:c>
    </x:row>
    <x:row r="10">
      <x:c r="A10" s="27" t="str">
        <x:v>Agile 운영</x:v>
      </x:c>
      <x:c r="B10" s="27" t="str">
        <x:v>Sprint 주기</x:v>
      </x:c>
      <x:c r="C10" s="27" t="str">
        <x:v>예: 2주</x:v>
      </x:c>
      <x:c r="D10" s="27" t="str">
        <x:v>Scrum Master</x:v>
      </x:c>
      <x:c r="E10" s="27" t="str"/>
      <x:c r="F10" s="27" t="str">
        <x:v>미시작</x:v>
      </x:c>
      <x:c r="G10" s="27" t="str">
        <x:v>Y</x:v>
      </x:c>
      <x:c r="H10" s="27" t="str">
        <x:v>Program Cadence와 연계</x:v>
      </x:c>
    </x:row>
    <x:row r="11">
      <x:c r="A11" s="27" t="str">
        <x:v>Agile 운영</x:v>
      </x:c>
      <x:c r="B11" s="27" t="str">
        <x:v>Sprint 1 목표</x:v>
      </x:c>
      <x:c r="C11" s="27" t="str"/>
      <x:c r="D11" s="27" t="str">
        <x:v>PO/PM</x:v>
      </x:c>
      <x:c r="E11" s="27" t="str"/>
      <x:c r="F11" s="27" t="str">
        <x:v>미시작</x:v>
      </x:c>
      <x:c r="G11" s="27" t="str">
        <x:v>Y</x:v>
      </x:c>
      <x:c r="H11" s="27" t="str">
        <x:v>Day1에서 필수 확인</x:v>
      </x:c>
    </x:row>
    <x:row r="12">
      <x:c r="A12" s="27" t="str">
        <x:v>Agile 운영</x:v>
      </x:c>
      <x:c r="B12" s="27" t="str">
        <x:v>Initial Backlog 준비 여부</x:v>
      </x:c>
      <x:c r="C12" s="27" t="str"/>
      <x:c r="D12" s="27" t="str">
        <x:v>PO/BA</x:v>
      </x:c>
      <x:c r="E12" s="27" t="str"/>
      <x:c r="F12" s="27" t="str">
        <x:v>미시작</x:v>
      </x:c>
      <x:c r="G12" s="27" t="str">
        <x:v>Y</x:v>
      </x:c>
      <x:c r="H12" s="27" t="str">
        <x:v>04_Backlog 시트 연계</x:v>
      </x:c>
    </x:row>
    <x:row r="13">
      <x:c r="A13" s="27" t="str">
        <x:v>품질 기준</x:v>
      </x:c>
      <x:c r="B13" s="27" t="str">
        <x:v>DoR/DoD 합의 여부</x:v>
      </x:c>
      <x:c r="C13" s="27" t="str"/>
      <x:c r="D13" s="27" t="str">
        <x:v>QA/Scrum Master</x:v>
      </x:c>
      <x:c r="E13" s="27" t="str"/>
      <x:c r="F13" s="27" t="str">
        <x:v>미시작</x:v>
      </x:c>
      <x:c r="G13" s="27" t="str">
        <x:v>Y</x:v>
      </x:c>
      <x:c r="H13" s="27" t="str">
        <x:v>09_WoW_DoR_DoD 시트 연계</x:v>
      </x:c>
    </x:row>
    <x:row r="14">
      <x:c r="A14" s="27" t="str">
        <x:v>산출물</x:v>
      </x:c>
      <x:c r="B14" s="27" t="str">
        <x:v>산출물 검토·승인 기준</x:v>
      </x:c>
      <x:c r="C14" s="27" t="str"/>
      <x:c r="D14" s="27" t="str">
        <x:v>PM/QA</x:v>
      </x:c>
      <x:c r="E14" s="27" t="str"/>
      <x:c r="F14" s="27" t="str">
        <x:v>미시작</x:v>
      </x:c>
      <x:c r="G14" s="27" t="str">
        <x:v>Y</x:v>
      </x:c>
      <x:c r="H14" s="27" t="str">
        <x:v>07_Deliverables 시트 연계</x:v>
      </x:c>
    </x:row>
    <x:row r="15">
      <x:c r="A15" s="27" t="str">
        <x:v>환경/권한</x:v>
      </x:c>
      <x:c r="B15" s="27" t="str">
        <x:v>Day1 필수 접근권한</x:v>
      </x:c>
      <x:c r="C15" s="27" t="str"/>
      <x:c r="D15" s="27" t="str">
        <x:v>Architect/고객 IT</x:v>
      </x:c>
      <x:c r="E15" s="27" t="str"/>
      <x:c r="F15" s="27" t="str">
        <x:v>미시작</x:v>
      </x:c>
      <x:c r="G15" s="27" t="str">
        <x:v>Y</x:v>
      </x:c>
      <x:c r="H15" s="27" t="str">
        <x:v>08_Access 시트 연계</x:v>
      </x:c>
    </x:row>
    <x:row r="16">
      <x:c r="A16" s="27" t="str">
        <x:v>의사소통</x:v>
      </x:c>
      <x:c r="B16" s="27" t="str">
        <x:v>주요 회의체 및 보고 주기</x:v>
      </x:c>
      <x:c r="C16" s="27" t="str"/>
      <x:c r="D16" s="27" t="str">
        <x:v>PM/사업관리</x:v>
      </x:c>
      <x:c r="E16" s="27" t="str"/>
      <x:c r="F16" s="27" t="str">
        <x:v>미시작</x:v>
      </x:c>
      <x:c r="G16" s="27" t="str">
        <x:v>Y</x:v>
      </x:c>
      <x:c r="H16" s="27" t="str">
        <x:v>06_CommCadence 시트 연계</x:v>
      </x:c>
    </x:row>
    <x:row r="17">
      <x:c r="A17" s="27" t="str">
        <x:v>위험/이슈</x:v>
      </x:c>
      <x:c r="B17" s="27" t="str">
        <x:v>Open Item 및 Risk 등록</x:v>
      </x:c>
      <x:c r="C17" s="27" t="str"/>
      <x:c r="D17" s="27" t="str">
        <x:v>PM</x:v>
      </x:c>
      <x:c r="E17" s="27" t="str"/>
      <x:c r="F17" s="27" t="str">
        <x:v>미시작</x:v>
      </x:c>
      <x:c r="G17" s="27" t="str">
        <x:v>Y</x:v>
      </x:c>
      <x:c r="H17" s="27" t="str">
        <x:v>10_Readiness_RAID 시트 연계</x:v>
      </x:c>
    </x:row>
  </x:sheetData>
  <x:mergeCells>
    <x:mergeCell ref="A1:H1"/>
    <x:mergeCell ref="A2:H2"/>
  </x:mergeCells>
  <x:dataValidations count="2">
    <x:dataValidation type="list" sqref="F5:F17">
      <x:formula1>"미시작,진행중,완료,지연,미완료,예외승인,해당없음"</x:formula1>
    </x:dataValidation>
    <x:dataValidation type="list" sqref="G5:G17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14f682e86b41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24" hidden="0" customWidth="1"/>
    <x:col min="5" max="5" width="22" hidden="0" customWidth="1"/>
    <x:col min="6" max="6" width="14" hidden="0" customWidth="1"/>
    <x:col min="7" max="7" width="16" hidden="0" customWidth="1"/>
    <x:col min="8" max="8" width="36" hidden="0" customWidth="1"/>
  </x:cols>
  <x:sheetData>
    <x:row r="1" ht="28" customHeight="1">
      <x:c r="A1" s="42" t="str">
        <x:v>Project Brief &amp; Scope 기준선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사업수행계획서의 사업 개요·추진 배경·사업 범위에 반영될 기본 입력값입니다. Sprint 0에서는 완성보다 기준선 합의에 집중합니다.</x:v>
      </x:c>
    </x:row>
    <x:row r="4" ht="22" customHeight="1">
      <x:c r="A4" s="34" t="str">
        <x:v>1) Project Brief</x:v>
      </x:c>
      <x:c r="B4" s="34"/>
      <x:c r="C4" s="34"/>
      <x:c r="D4" s="34"/>
      <x:c r="E4" s="34"/>
      <x:c r="F4" s="34"/>
      <x:c r="G4" s="34"/>
      <x:c r="H4" s="34"/>
    </x:row>
    <x:row r="5">
      <x:c r="A5" s="20" t="str">
        <x:v>항목</x:v>
      </x:c>
      <x:c r="B5" s="20" t="str">
        <x:v>작성값</x:v>
      </x:c>
      <x:c r="C5" s="20" t="str">
        <x:v>근거/출처</x:v>
      </x:c>
      <x:c r="D5" s="20" t="str">
        <x:v>Owner</x:v>
      </x:c>
      <x:c r="E5" s="20" t="str">
        <x:v>상태</x:v>
      </x:c>
      <x:c r="F5" s="20" t="str">
        <x:v>사업수행계획서 반영</x:v>
      </x:c>
      <x:c r="G5" s="20" t="str">
        <x:v>Day1 필수</x:v>
      </x:c>
      <x:c r="H5" s="20" t="str">
        <x:v>비고</x:v>
      </x:c>
    </x:row>
    <x:row r="6">
      <x:c r="A6" s="27" t="str">
        <x:v>사업명</x:v>
      </x:c>
      <x:c r="B6" s="27" t="str"/>
      <x:c r="C6" s="27" t="str">
        <x:v>계약/SOW/제안서</x:v>
      </x:c>
      <x:c r="D6" s="27" t="str">
        <x:v>PM</x:v>
      </x:c>
      <x:c r="E6" s="27" t="str">
        <x:v>미시작</x:v>
      </x:c>
      <x:c r="F6" s="27" t="str">
        <x:v>1. 사업명</x:v>
      </x:c>
      <x:c r="G6" s="27" t="str">
        <x:v>Y</x:v>
      </x:c>
      <x:c r="H6" s="27" t="str"/>
    </x:row>
    <x:row r="7">
      <x:c r="A7" s="27" t="str">
        <x:v>고객사/발주사</x:v>
      </x:c>
      <x:c r="B7" s="27" t="str"/>
      <x:c r="C7" s="27" t="str">
        <x:v>계약/SOW</x:v>
      </x:c>
      <x:c r="D7" s="27" t="str">
        <x:v>PM</x:v>
      </x:c>
      <x:c r="E7" s="27" t="str">
        <x:v>미시작</x:v>
      </x:c>
      <x:c r="F7" s="27" t="str">
        <x:v>표지/본문</x:v>
      </x:c>
      <x:c r="G7" s="27" t="str">
        <x:v>Y</x:v>
      </x:c>
      <x:c r="H7" s="27" t="str"/>
    </x:row>
    <x:row r="8">
      <x:c r="A8" s="27" t="str">
        <x:v>추진 배경</x:v>
      </x:c>
      <x:c r="B8" s="27" t="str"/>
      <x:c r="C8" s="27" t="str">
        <x:v>RFP/제안서/고객 인터뷰</x:v>
      </x:c>
      <x:c r="D8" s="27" t="str">
        <x:v>PM/PO</x:v>
      </x:c>
      <x:c r="E8" s="27" t="str">
        <x:v>미시작</x:v>
      </x:c>
      <x:c r="F8" s="27" t="str">
        <x:v>3.1 추진 배경</x:v>
      </x:c>
      <x:c r="G8" s="27" t="str">
        <x:v>Y</x:v>
      </x:c>
      <x:c r="H8" s="27" t="str"/>
    </x:row>
    <x:row r="9">
      <x:c r="A9" s="27" t="str">
        <x:v>추진 목적</x:v>
      </x:c>
      <x:c r="B9" s="27" t="str"/>
      <x:c r="C9" s="27" t="str">
        <x:v>고객 목표/성과</x:v>
      </x:c>
      <x:c r="D9" s="27" t="str">
        <x:v>PM/PO</x:v>
      </x:c>
      <x:c r="E9" s="27" t="str">
        <x:v>미시작</x:v>
      </x:c>
      <x:c r="F9" s="27" t="str">
        <x:v>3.2 추진 목적</x:v>
      </x:c>
      <x:c r="G9" s="27" t="str">
        <x:v>Y</x:v>
      </x:c>
      <x:c r="H9" s="27" t="str"/>
    </x:row>
    <x:row r="10">
      <x:c r="A10" s="27" t="str">
        <x:v>고객 기대성과</x:v>
      </x:c>
      <x:c r="B10" s="27" t="str"/>
      <x:c r="C10" s="27" t="str">
        <x:v>CBO/Success Criteria</x:v>
      </x:c>
      <x:c r="D10" s="27" t="str">
        <x:v>Sponsor/PO</x:v>
      </x:c>
      <x:c r="E10" s="27" t="str">
        <x:v>미시작</x:v>
      </x:c>
      <x:c r="F10" s="27" t="str">
        <x:v>3.2.1 수행 방향</x:v>
      </x:c>
      <x:c r="G10" s="27" t="str">
        <x:v>Y</x:v>
      </x:c>
      <x:c r="H10" s="27" t="str"/>
    </x:row>
    <x:row r="11">
      <x:c r="A11" s="27" t="str">
        <x:v>성공 기준</x:v>
      </x:c>
      <x:c r="B11" s="27" t="str"/>
      <x:c r="C11" s="27" t="str">
        <x:v>KPI/Acceptance Criteria</x:v>
      </x:c>
      <x:c r="D11" s="27" t="str">
        <x:v>PM/PO</x:v>
      </x:c>
      <x:c r="E11" s="27" t="str">
        <x:v>미시작</x:v>
      </x:c>
      <x:c r="F11" s="27" t="str">
        <x:v>3.2.2 수행 기준</x:v>
      </x:c>
      <x:c r="G11" s="27" t="str">
        <x:v>Y</x:v>
      </x:c>
      <x:c r="H11" s="27" t="str"/>
    </x:row>
    <x:row r="12">
      <x:c r="A12" s="27" t="str">
        <x:v>주요 제약사항</x:v>
      </x:c>
      <x:c r="B12" s="27" t="str"/>
      <x:c r="C12" s="27" t="str">
        <x:v>계약/보안/일정</x:v>
      </x:c>
      <x:c r="D12" s="27" t="str">
        <x:v>PM</x:v>
      </x:c>
      <x:c r="E12" s="27" t="str">
        <x:v>미시작</x:v>
      </x:c>
      <x:c r="F12" s="27" t="str">
        <x:v>14. 위험관리 계획</x:v>
      </x:c>
      <x:c r="G12" s="27" t="str">
        <x:v>N</x:v>
      </x:c>
      <x:c r="H12" s="27" t="str"/>
    </x:row>
    <x:row r="15" ht="22" customHeight="1">
      <x:c r="A15" s="34" t="str">
        <x:v>2) Scope Matrix</x:v>
      </x:c>
      <x:c r="B15" s="34"/>
      <x:c r="C15" s="34"/>
      <x:c r="D15" s="34"/>
      <x:c r="E15" s="34"/>
      <x:c r="F15" s="34"/>
      <x:c r="G15" s="34"/>
      <x:c r="H15" s="34"/>
    </x:row>
    <x:row r="16">
      <x:c r="A16" s="20" t="str">
        <x:v>구분</x:v>
      </x:c>
      <x:c r="B16" s="20" t="str">
        <x:v>범위 항목</x:v>
      </x:c>
      <x:c r="C16" s="20" t="str">
        <x:v>In/Out/TBD</x:v>
      </x:c>
      <x:c r="D16" s="20" t="str">
        <x:v>근거</x:v>
      </x:c>
      <x:c r="E16" s="20" t="str">
        <x:v>Owner</x:v>
      </x:c>
      <x:c r="F16" s="20" t="str">
        <x:v>상태</x:v>
      </x:c>
      <x:c r="G16" s="20" t="str">
        <x:v>변경관리 필요</x:v>
      </x:c>
      <x:c r="H16" s="20" t="str">
        <x:v>비고</x:v>
      </x:c>
    </x:row>
    <x:row r="17">
      <x:c r="A17" s="27" t="str">
        <x:v>업무</x:v>
      </x:c>
      <x:c r="B17" s="27" t="str">
        <x:v>구축 대상 업무</x:v>
      </x:c>
      <x:c r="C17" s="27" t="str">
        <x:v>TBD</x:v>
      </x:c>
      <x:c r="D17" s="27" t="str">
        <x:v>RFP/제안서</x:v>
      </x:c>
      <x:c r="E17" s="27" t="str">
        <x:v>PM/PO</x:v>
      </x:c>
      <x:c r="F17" s="27" t="str">
        <x:v>미시작</x:v>
      </x:c>
      <x:c r="G17" s="27" t="str">
        <x:v>N</x:v>
      </x:c>
      <x:c r="H17" s="27" t="str">
        <x:v>4.2 반영</x:v>
      </x:c>
    </x:row>
    <x:row r="18">
      <x:c r="A18" s="27" t="str">
        <x:v>기능</x:v>
      </x:c>
      <x:c r="B18" s="27" t="str">
        <x:v>개발 대상 업무</x:v>
      </x:c>
      <x:c r="C18" s="27" t="str">
        <x:v>TBD</x:v>
      </x:c>
      <x:c r="D18" s="27" t="str">
        <x:v>요구사항 목록</x:v>
      </x:c>
      <x:c r="E18" s="27" t="str">
        <x:v>PO/BA</x:v>
      </x:c>
      <x:c r="F18" s="27" t="str">
        <x:v>미시작</x:v>
      </x:c>
      <x:c r="G18" s="27" t="str">
        <x:v>N</x:v>
      </x:c>
      <x:c r="H18" s="27" t="str">
        <x:v>4.4 반영</x:v>
      </x:c>
    </x:row>
    <x:row r="19">
      <x:c r="A19" s="27" t="str">
        <x:v>기술</x:v>
      </x:c>
      <x:c r="B19" s="27" t="str">
        <x:v>목표시스템 구성도</x:v>
      </x:c>
      <x:c r="C19" s="27" t="str">
        <x:v>TBD</x:v>
      </x:c>
      <x:c r="D19" s="27" t="str">
        <x:v>아키텍처 검토</x:v>
      </x:c>
      <x:c r="E19" s="27" t="str">
        <x:v>Architect</x:v>
      </x:c>
      <x:c r="F19" s="27" t="str">
        <x:v>미시작</x:v>
      </x:c>
      <x:c r="G19" s="27" t="str">
        <x:v>N</x:v>
      </x:c>
      <x:c r="H19" s="27" t="str">
        <x:v>4.1 반영, 상세는 후속 보완</x:v>
      </x:c>
    </x:row>
    <x:row r="20">
      <x:c r="A20" s="27" t="str">
        <x:v>환경</x:v>
      </x:c>
      <x:c r="B20" s="27" t="str">
        <x:v>개발/검증/운영 환경</x:v>
      </x:c>
      <x:c r="C20" s="27" t="str">
        <x:v>TBD</x:v>
      </x:c>
      <x:c r="D20" s="27" t="str">
        <x:v>고객 IT 협의</x:v>
      </x:c>
      <x:c r="E20" s="27" t="str">
        <x:v>Architect/고객 IT</x:v>
      </x:c>
      <x:c r="F20" s="27" t="str">
        <x:v>미시작</x:v>
      </x:c>
      <x:c r="G20" s="27" t="str">
        <x:v>N</x:v>
      </x:c>
      <x:c r="H20" s="27" t="str">
        <x:v>8/18장 연계</x:v>
      </x:c>
    </x:row>
    <x:row r="21">
      <x:c r="A21" s="27" t="str">
        <x:v>보안</x:v>
      </x:c>
      <x:c r="B21" s="27" t="str">
        <x:v>개인정보/보안성 검토</x:v>
      </x:c>
      <x:c r="C21" s="27" t="str">
        <x:v>TBD</x:v>
      </x:c>
      <x:c r="D21" s="27" t="str">
        <x:v>고객 보안정책</x:v>
      </x:c>
      <x:c r="E21" s="27" t="str">
        <x:v>보안담당</x:v>
      </x:c>
      <x:c r="F21" s="27" t="str">
        <x:v>미시작</x:v>
      </x:c>
      <x:c r="G21" s="27" t="str">
        <x:v>N</x:v>
      </x:c>
      <x:c r="H21" s="27" t="str">
        <x:v>18장 반영</x:v>
      </x:c>
    </x:row>
    <x:row r="22">
      <x:c r="A22" s="27" t="str">
        <x:v>교육</x:v>
      </x:c>
      <x:c r="B22" s="27" t="str">
        <x:v>사용자/운영자 교육</x:v>
      </x:c>
      <x:c r="C22" s="27" t="str">
        <x:v>TBD</x:v>
      </x:c>
      <x:c r="D22" s="27" t="str">
        <x:v>제안서/계약</x:v>
      </x:c>
      <x:c r="E22" s="27" t="str">
        <x:v>PM/운영</x:v>
      </x:c>
      <x:c r="F22" s="27" t="str">
        <x:v>미시작</x:v>
      </x:c>
      <x:c r="G22" s="27" t="str">
        <x:v>N</x:v>
      </x:c>
      <x:c r="H22" s="27" t="str">
        <x:v>20장 반영</x:v>
      </x:c>
    </x:row>
    <x:row r="23">
      <x:c r="A23" s="27" t="str">
        <x:v>운영</x:v>
      </x:c>
      <x:c r="B23" s="27" t="str">
        <x:v>운영전환/안정화 지원</x:v>
      </x:c>
      <x:c r="C23" s="27" t="str">
        <x:v>TBD</x:v>
      </x:c>
      <x:c r="D23" s="27" t="str">
        <x:v>계약/SOW</x:v>
      </x:c>
      <x:c r="E23" s="27" t="str">
        <x:v>PM/운영</x:v>
      </x:c>
      <x:c r="F23" s="27" t="str">
        <x:v>미시작</x:v>
      </x:c>
      <x:c r="G23" s="27" t="str">
        <x:v>N</x:v>
      </x:c>
      <x:c r="H23" s="27" t="str">
        <x:v>21장 반영</x:v>
      </x:c>
    </x:row>
  </x:sheetData>
  <x:mergeCells>
    <x:mergeCell ref="A1:H1"/>
    <x:mergeCell ref="A2:H2"/>
    <x:mergeCell ref="A4:H4"/>
    <x:mergeCell ref="A15:H15"/>
  </x:mergeCells>
  <x:dataValidations count="5">
    <x:dataValidation type="list" sqref="E6:E12">
      <x:formula1>"미시작,진행중,완료,지연,미완료,예외승인,해당없음"</x:formula1>
    </x:dataValidation>
    <x:dataValidation type="list" sqref="F17:F23">
      <x:formula1>"미시작,진행중,완료,지연,미완료,예외승인,해당없음"</x:formula1>
    </x:dataValidation>
    <x:dataValidation type="list" sqref="C17:C23">
      <x:formula1>"In,Out,TBD"</x:formula1>
    </x:dataValidation>
    <x:dataValidation type="list" sqref="G17:G23">
      <x:formula1>"Y,N"</x:formula1>
    </x:dataValidation>
    <x:dataValidation type="list" sqref="G6:G12">
      <x:formula1>"Y,N"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62abc9ac56441c8"/>
    <x:tablePart xmlns:r="http://schemas.openxmlformats.org/officeDocument/2006/relationships" r:id="R7ab15c6ade2e46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14" hidden="0" customWidth="1"/>
    <x:col min="5" max="5" width="12" hidden="0" customWidth="1"/>
    <x:col min="6" max="6" width="22" hidden="0" customWidth="1"/>
    <x:col min="7" max="7" width="50" hidden="0" customWidth="1"/>
    <x:col min="8" max="8" width="14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28" customHeight="1">
      <x:c r="A1" s="42" t="str">
        <x:v>Initial Backlog &amp; Sprint 1 후보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요구사항, 작업, 산출물, 리스크 대응 항목을 우선순위 기반으로 관리합니다. Sprint 0에서는 전체 상세화보다 Sprint 1 착수 가능 항목을 식별합니다.</x:v>
      </x:c>
    </x:row>
    <x:row r="4">
      <x:c r="A4" s="20" t="str">
        <x:v>ID</x:v>
      </x:c>
      <x:c r="B4" s="20" t="str">
        <x:v>Epic/영역</x:v>
      </x:c>
      <x:c r="C4" s="20" t="str">
        <x:v>User Story / Task</x:v>
      </x:c>
      <x:c r="D4" s="20" t="str">
        <x:v>유형</x:v>
      </x:c>
      <x:c r="E4" s="20" t="str">
        <x:v>우선순위</x:v>
      </x:c>
      <x:c r="F4" s="20" t="str">
        <x:v>담당</x:v>
      </x:c>
      <x:c r="G4" s="20" t="str">
        <x:v>Acceptance Criteria</x:v>
      </x:c>
      <x:c r="H4" s="20" t="str">
        <x:v>DoR 상태</x:v>
      </x:c>
      <x:c r="I4" s="20" t="str">
        <x:v>Sprint 1 후보</x:v>
      </x:c>
      <x:c r="J4" s="20" t="str">
        <x:v>상태</x:v>
      </x:c>
      <x:c r="K4" s="20" t="str">
        <x:v>의존성/비고</x:v>
      </x:c>
    </x:row>
    <x:row r="5">
      <x:c r="A5" s="27" t="str">
        <x:v>PB-001</x:v>
      </x:c>
      <x:c r="B5" s="27" t="str">
        <x:v>프로젝트 착수</x:v>
      </x:c>
      <x:c r="C5" s="27" t="str">
        <x:v>사업수행계획서 초안 보완</x:v>
      </x:c>
      <x:c r="D5" s="27" t="str">
        <x:v>산출물</x:v>
      </x:c>
      <x:c r="E5" s="27" t="str">
        <x:v>High</x:v>
      </x:c>
      <x:c r="F5" s="27" t="str">
        <x:v>PM</x:v>
      </x:c>
      <x:c r="G5" s="27" t="str">
        <x:v>핵심 Chapter 초안 작성 및 Open Item 식별</x:v>
      </x:c>
      <x:c r="H5" s="27" t="str">
        <x:v>미시작</x:v>
      </x:c>
      <x:c r="I5" s="27" t="str">
        <x:v>Y</x:v>
      </x:c>
      <x:c r="J5" s="27" t="str">
        <x:v>미시작</x:v>
      </x:c>
      <x:c r="K5" s="27" t="str">
        <x:v>03/12 시트 연계</x:v>
      </x:c>
    </x:row>
    <x:row r="6">
      <x:c r="A6" s="27" t="str">
        <x:v>PB-002</x:v>
      </x:c>
      <x:c r="B6" s="27" t="str">
        <x:v>범위</x:v>
      </x:c>
      <x:c r="C6" s="27" t="str">
        <x:v>Scope In/Out 확정</x:v>
      </x:c>
      <x:c r="D6" s="27" t="str">
        <x:v>관리</x:v>
      </x:c>
      <x:c r="E6" s="27" t="str">
        <x:v>High</x:v>
      </x:c>
      <x:c r="F6" s="27" t="str">
        <x:v>PM/PO</x:v>
      </x:c>
      <x:c r="G6" s="27" t="str">
        <x:v>In/Out/TBD 항목이 모두 검토되고 변경관리 후보가 식별됨</x:v>
      </x:c>
      <x:c r="H6" s="27" t="str">
        <x:v>미시작</x:v>
      </x:c>
      <x:c r="I6" s="27" t="str">
        <x:v>Y</x:v>
      </x:c>
      <x:c r="J6" s="27" t="str">
        <x:v>미시작</x:v>
      </x:c>
      <x:c r="K6" s="27" t="str">
        <x:v>03_BriefScope</x:v>
      </x:c>
    </x:row>
    <x:row r="7">
      <x:c r="A7" s="27" t="str">
        <x:v>PB-003</x:v>
      </x:c>
      <x:c r="B7" s="27" t="str">
        <x:v>환경</x:v>
      </x:c>
      <x:c r="C7" s="27" t="str">
        <x:v>Day1 필수 접근권한 확보</x:v>
      </x:c>
      <x:c r="D7" s="27" t="str">
        <x:v>환경</x:v>
      </x:c>
      <x:c r="E7" s="27" t="str">
        <x:v>High</x:v>
      </x:c>
      <x:c r="F7" s="27" t="str">
        <x:v>Architect</x:v>
      </x:c>
      <x:c r="G7" s="27" t="str">
        <x:v>필수 계정/도구/저장소 접근이 가능하거나 완료일이 확정됨</x:v>
      </x:c>
      <x:c r="H7" s="27" t="str">
        <x:v>미시작</x:v>
      </x:c>
      <x:c r="I7" s="27" t="str">
        <x:v>Y</x:v>
      </x:c>
      <x:c r="J7" s="27" t="str">
        <x:v>미시작</x:v>
      </x:c>
      <x:c r="K7" s="27" t="str">
        <x:v>08_Access</x:v>
      </x:c>
    </x:row>
    <x:row r="8">
      <x:c r="A8" s="27" t="str">
        <x:v>PB-004</x:v>
      </x:c>
      <x:c r="B8" s="27" t="str">
        <x:v>품질</x:v>
      </x:c>
      <x:c r="C8" s="27" t="str">
        <x:v>DoR/DoD 합의</x:v>
      </x:c>
      <x:c r="D8" s="27" t="str">
        <x:v>Agile</x:v>
      </x:c>
      <x:c r="E8" s="27" t="str">
        <x:v>High</x:v>
      </x:c>
      <x:c r="F8" s="27" t="str">
        <x:v>QA/Scrum Master</x:v>
      </x:c>
      <x:c r="G8" s="27" t="str">
        <x:v>팀과 고객 PM이 시작/완료 기준에 합의함</x:v>
      </x:c>
      <x:c r="H8" s="27" t="str">
        <x:v>미시작</x:v>
      </x:c>
      <x:c r="I8" s="27" t="str">
        <x:v>Y</x:v>
      </x:c>
      <x:c r="J8" s="27" t="str">
        <x:v>미시작</x:v>
      </x:c>
      <x:c r="K8" s="27" t="str">
        <x:v>09_WoW_DoR_DoD</x:v>
      </x:c>
    </x:row>
    <x:row r="9">
      <x:c r="A9" s="27" t="str">
        <x:v>PB-005</x:v>
      </x:c>
      <x:c r="B9" s="27" t="str">
        <x:v>의사소통</x:v>
      </x:c>
      <x:c r="C9" s="27" t="str">
        <x:v>주요 회의체와 보고 주기 확정</x:v>
      </x:c>
      <x:c r="D9" s="27" t="str">
        <x:v>관리</x:v>
      </x:c>
      <x:c r="E9" s="27" t="str">
        <x:v>Medium</x:v>
      </x:c>
      <x:c r="F9" s="27" t="str">
        <x:v>PM</x:v>
      </x:c>
      <x:c r="G9" s="27" t="str">
        <x:v>주간보고, Sprint Review, 의사결정 회의체 일정이 등록됨</x:v>
      </x:c>
      <x:c r="H9" s="27" t="str">
        <x:v>미시작</x:v>
      </x:c>
      <x:c r="I9" s="27" t="str">
        <x:v>Y</x:v>
      </x:c>
      <x:c r="J9" s="27" t="str">
        <x:v>미시작</x:v>
      </x:c>
      <x:c r="K9" s="27" t="str">
        <x:v>06_CommCadence</x:v>
      </x:c>
    </x:row>
    <x:row r="10">
      <x:c r="A10" s="27" t="str">
        <x:v>PB-006</x:v>
      </x:c>
      <x:c r="B10" s="27" t="str">
        <x:v>위험</x:v>
      </x:c>
      <x:c r="C10" s="27" t="str">
        <x:v>초기 RAID 및 Decision Log 등록</x:v>
      </x:c>
      <x:c r="D10" s="27" t="str">
        <x:v>관리</x:v>
      </x:c>
      <x:c r="E10" s="27" t="str">
        <x:v>High</x:v>
      </x:c>
      <x:c r="F10" s="27" t="str">
        <x:v>PM</x:v>
      </x:c>
      <x:c r="G10" s="27" t="str">
        <x:v>초기 리스크와 결정 필요사항에 Owner와 Due Date가 지정됨</x:v>
      </x:c>
      <x:c r="H10" s="27" t="str">
        <x:v>미시작</x:v>
      </x:c>
      <x:c r="I10" s="27" t="str">
        <x:v>Y</x:v>
      </x:c>
      <x:c r="J10" s="27" t="str">
        <x:v>미시작</x:v>
      </x:c>
      <x:c r="K10" s="27" t="str">
        <x:v>10_Readiness_RAID</x:v>
      </x:c>
    </x:row>
  </x:sheetData>
  <x:mergeCells>
    <x:mergeCell ref="A1:K1"/>
    <x:mergeCell ref="A2:K2"/>
  </x:mergeCells>
  <x:dataValidations count="4">
    <x:dataValidation type="list" sqref="E5:E80">
      <x:formula1>"High,Medium,Low"</x:formula1>
    </x:dataValidation>
    <x:dataValidation type="list" sqref="H5:H80">
      <x:formula1>"미시작,진행중,완료,지연,미완료,예외승인,해당없음"</x:formula1>
    </x:dataValidation>
    <x:dataValidation type="list" sqref="I5:I80">
      <x:formula1>"Y,N"</x:formula1>
    </x:dataValidation>
    <x:dataValidation type="list" sqref="J5:J80">
      <x:formula1>"미시작,진행중,완료,지연,미완료,예외승인,해당없음"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ae0295be4740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6" hidden="0" customWidth="1"/>
    <x:col min="5" max="5" width="10" hidden="0" customWidth="1"/>
    <x:col min="6" max="6" width="14" hidden="0" customWidth="1"/>
    <x:col min="7" max="7" width="10" hidden="0" customWidth="1"/>
    <x:col min="8" max="8" width="16" hidden="0" customWidth="1"/>
    <x:col min="9" max="9" width="14" hidden="0" customWidth="1"/>
    <x:col min="10" max="10" width="10" hidden="0" customWidth="1"/>
    <x:col min="11" max="11" width="12" hidden="0" customWidth="1"/>
    <x:col min="12" max="12" width="25" hidden="0" customWidth="1"/>
  </x:cols>
  <x:sheetData>
    <x:row r="1" ht="28" customHeight="1">
      <x:c r="A1" s="42" t="str">
        <x:v>Stakeholder Map &amp; RACI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고객 및 수행팀의 역할, 책임, 승인자, Escalation 경로를 정리합니다.</x:v>
      </x:c>
    </x:row>
    <x:row r="4" ht="22" customHeight="1">
      <x:c r="A4" s="34" t="str">
        <x:v>1) Stakeholder Map</x:v>
      </x:c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>
      <x:c r="A5" s="20" t="str">
        <x:v>구분</x:v>
      </x:c>
      <x:c r="B5" s="20" t="str">
        <x:v>역할</x:v>
      </x:c>
      <x:c r="C5" s="20" t="str">
        <x:v>이름/부서</x:v>
      </x:c>
      <x:c r="D5" s="20" t="str">
        <x:v>책임</x:v>
      </x:c>
      <x:c r="E5" s="20" t="str">
        <x:v>참여 방식</x:v>
      </x:c>
      <x:c r="F5" s="20" t="str">
        <x:v>연락 채널</x:v>
      </x:c>
      <x:c r="G5" s="20" t="str">
        <x:v>승인 권한</x:v>
      </x:c>
      <x:c r="H5" s="20" t="str">
        <x:v>상태</x:v>
      </x:c>
      <x:c r="I5" s="20" t="str">
        <x:v>비고</x:v>
      </x:c>
    </x:row>
    <x:row r="6">
      <x:c r="A6" s="27" t="str">
        <x:v>고객</x:v>
      </x:c>
      <x:c r="B6" s="27" t="str">
        <x:v>Sponsor</x:v>
      </x:c>
      <x:c r="C6" s="27" t="str"/>
      <x:c r="D6" s="27" t="str">
        <x:v>최종 의사결정/예산/성과 책임</x:v>
      </x:c>
      <x:c r="E6" s="27" t="str">
        <x:v>착수보고, Steering, Day1 판단</x:v>
      </x:c>
      <x:c r="F6" s="27" t="str"/>
      <x:c r="G6" s="27" t="str">
        <x:v>Y</x:v>
      </x:c>
      <x:c r="H6" s="27" t="str">
        <x:v>미시작</x:v>
      </x:c>
      <x:c r="I6" s="27" t="str"/>
    </x:row>
    <x:row r="7">
      <x:c r="A7" s="27" t="str">
        <x:v>고객</x:v>
      </x:c>
      <x:c r="B7" s="27" t="str">
        <x:v>고객 PM</x:v>
      </x:c>
      <x:c r="C7" s="27" t="str"/>
      <x:c r="D7" s="27" t="str">
        <x:v>고객 측 일정/담당자/내부조율</x:v>
      </x:c>
      <x:c r="E7" s="27" t="str">
        <x:v>주간보고, Sprint 0 전체</x:v>
      </x:c>
      <x:c r="F7" s="27" t="str"/>
      <x:c r="G7" s="27" t="str">
        <x:v>Y</x:v>
      </x:c>
      <x:c r="H7" s="27" t="str">
        <x:v>미시작</x:v>
      </x:c>
      <x:c r="I7" s="27" t="str"/>
    </x:row>
    <x:row r="8">
      <x:c r="A8" s="27" t="str">
        <x:v>고객</x:v>
      </x:c>
      <x:c r="B8" s="27" t="str">
        <x:v>Product Owner</x:v>
      </x:c>
      <x:c r="C8" s="27" t="str"/>
      <x:c r="D8" s="27" t="str">
        <x:v>요구사항 우선순위 및 Acceptance Criteria 확인</x:v>
      </x:c>
      <x:c r="E8" s="27" t="str">
        <x:v>Backlog Review</x:v>
      </x:c>
      <x:c r="F8" s="27" t="str"/>
      <x:c r="G8" s="27" t="str">
        <x:v>Y</x:v>
      </x:c>
      <x:c r="H8" s="27" t="str">
        <x:v>미시작</x:v>
      </x:c>
      <x:c r="I8" s="27" t="str">
        <x:v>Agile 역할 유지</x:v>
      </x:c>
    </x:row>
    <x:row r="9">
      <x:c r="A9" s="27" t="str">
        <x:v>고객</x:v>
      </x:c>
      <x:c r="B9" s="27" t="str">
        <x:v>보안 담당자</x:v>
      </x:c>
      <x:c r="C9" s="27" t="str"/>
      <x:c r="D9" s="27" t="str">
        <x:v>보안검토/접근권한/자료관리 기준 확인</x:v>
      </x:c>
      <x:c r="E9" s="27" t="str">
        <x:v>보안성 점검</x:v>
      </x:c>
      <x:c r="F9" s="27" t="str"/>
      <x:c r="G9" s="27" t="str">
        <x:v>Y</x:v>
      </x:c>
      <x:c r="H9" s="27" t="str">
        <x:v>미시작</x:v>
      </x:c>
      <x:c r="I9" s="27" t="str"/>
    </x:row>
    <x:row r="10">
      <x:c r="A10" s="27" t="str">
        <x:v>고객</x:v>
      </x:c>
      <x:c r="B10" s="27" t="str">
        <x:v>인프라/환경 담당자</x:v>
      </x:c>
      <x:c r="C10" s="27" t="str"/>
      <x:c r="D10" s="27" t="str">
        <x:v>환경/계정/접근권한 준비</x:v>
      </x:c>
      <x:c r="E10" s="27" t="str">
        <x:v>환경·접근권한 점검</x:v>
      </x:c>
      <x:c r="F10" s="27" t="str"/>
      <x:c r="G10" s="27" t="str">
        <x:v>Y</x:v>
      </x:c>
      <x:c r="H10" s="27" t="str">
        <x:v>미시작</x:v>
      </x:c>
      <x:c r="I10" s="27" t="str"/>
    </x:row>
    <x:row r="11">
      <x:c r="A11" s="27" t="str">
        <x:v>수행</x:v>
      </x:c>
      <x:c r="B11" s="27" t="str">
        <x:v>PM</x:v>
      </x:c>
      <x:c r="C11" s="27" t="str"/>
      <x:c r="D11" s="27" t="str">
        <x:v>일정/범위/리스크/산출물 총괄</x:v>
      </x:c>
      <x:c r="E11" s="27" t="str">
        <x:v>전체 운영</x:v>
      </x:c>
      <x:c r="F11" s="27" t="str"/>
      <x:c r="G11" s="27" t="str">
        <x:v>Y</x:v>
      </x:c>
      <x:c r="H11" s="27" t="str">
        <x:v>미시작</x:v>
      </x:c>
      <x:c r="I11" s="27" t="str"/>
    </x:row>
    <x:row r="12">
      <x:c r="A12" s="27" t="str">
        <x:v>수행</x:v>
      </x:c>
      <x:c r="B12" s="27" t="str">
        <x:v>Scrum Master</x:v>
      </x:c>
      <x:c r="C12" s="27" t="str"/>
      <x:c r="D12" s="27" t="str">
        <x:v>Sprint 운영, 장애요인 제거, Agile Ceremony 운영</x:v>
      </x:c>
      <x:c r="E12" s="27" t="str">
        <x:v>Sprint 운영</x:v>
      </x:c>
      <x:c r="F12" s="27" t="str"/>
      <x:c r="G12" s="27" t="str">
        <x:v>N</x:v>
      </x:c>
      <x:c r="H12" s="27" t="str">
        <x:v>미시작</x:v>
      </x:c>
      <x:c r="I12" s="27" t="str">
        <x:v>Agile 역할 유지</x:v>
      </x:c>
    </x:row>
    <x:row r="13">
      <x:c r="A13" s="27" t="str">
        <x:v>수행</x:v>
      </x:c>
      <x:c r="B13" s="27" t="str">
        <x:v>Architect/Tech Lead</x:v>
      </x:c>
      <x:c r="C13" s="27" t="str"/>
      <x:c r="D13" s="27" t="str">
        <x:v>기술방향, 환경, 의존성, 기술 리스크</x:v>
      </x:c>
      <x:c r="E13" s="27" t="str">
        <x:v>기술검토</x:v>
      </x:c>
      <x:c r="F13" s="27" t="str"/>
      <x:c r="G13" s="27" t="str">
        <x:v>N</x:v>
      </x:c>
      <x:c r="H13" s="27" t="str">
        <x:v>미시작</x:v>
      </x:c>
      <x:c r="I13" s="27" t="str"/>
    </x:row>
    <x:row r="14">
      <x:c r="A14" s="27" t="str">
        <x:v>수행</x:v>
      </x:c>
      <x:c r="B14" s="27" t="str">
        <x:v>QA</x:v>
      </x:c>
      <x:c r="C14" s="27" t="str"/>
      <x:c r="D14" s="27" t="str">
        <x:v>품질 기준, 산출물 검토, DoD/품질 Gate</x:v>
      </x:c>
      <x:c r="E14" s="27" t="str">
        <x:v>품질점검</x:v>
      </x:c>
      <x:c r="F14" s="27" t="str"/>
      <x:c r="G14" s="27" t="str">
        <x:v>N</x:v>
      </x:c>
      <x:c r="H14" s="27" t="str">
        <x:v>미시작</x:v>
      </x:c>
      <x:c r="I14" s="27" t="str"/>
    </x:row>
    <x:row r="17" ht="22" customHeight="1">
      <x:c r="A17" s="34" t="str">
        <x:v>2) RACI Matrix</x:v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>
      <x:c r="A18" s="20" t="str">
        <x:v>활동</x:v>
      </x:c>
      <x:c r="B18" s="20" t="str">
        <x:v>Sponsor</x:v>
      </x:c>
      <x:c r="C18" s="20" t="str">
        <x:v>고객 PM</x:v>
      </x:c>
      <x:c r="D18" s="20" t="str">
        <x:v>Product Owner</x:v>
      </x:c>
      <x:c r="E18" s="20" t="str">
        <x:v>보안</x:v>
      </x:c>
      <x:c r="F18" s="20" t="str">
        <x:v>인프라/환경</x:v>
      </x:c>
      <x:c r="G18" s="20" t="str">
        <x:v>PM</x:v>
      </x:c>
      <x:c r="H18" s="20" t="str">
        <x:v>Scrum Master</x:v>
      </x:c>
      <x:c r="I18" s="20" t="str">
        <x:v>Architect</x:v>
      </x:c>
      <x:c r="J18" s="20" t="str">
        <x:v>QA</x:v>
      </x:c>
      <x:c r="K18" s="20" t="str">
        <x:v>PL/개발</x:v>
      </x:c>
      <x:c r="L18" s="20" t="str">
        <x:v>비고</x:v>
      </x:c>
    </x:row>
    <x:row r="19">
      <x:c r="A19" s="27" t="str">
        <x:v>사업 목표/성공 기준 승인</x:v>
      </x:c>
      <x:c r="B19" s="27" t="str">
        <x:v>A</x:v>
      </x:c>
      <x:c r="C19" s="27" t="str">
        <x:v>C</x:v>
      </x:c>
      <x:c r="D19" s="27" t="str">
        <x:v>C</x:v>
      </x:c>
      <x:c r="E19" s="27" t="str">
        <x:v>I</x:v>
      </x:c>
      <x:c r="F19" s="27" t="str">
        <x:v>I</x:v>
      </x:c>
      <x:c r="G19" s="27" t="str">
        <x:v>R</x:v>
      </x:c>
      <x:c r="H19" s="27" t="str">
        <x:v>I</x:v>
      </x:c>
      <x:c r="I19" s="27" t="str">
        <x:v>C</x:v>
      </x:c>
      <x:c r="J19" s="27" t="str">
        <x:v>I</x:v>
      </x:c>
      <x:c r="K19" s="27" t="str">
        <x:v>I</x:v>
      </x:c>
      <x:c r="L19" s="27" t="str">
        <x:v>3장 반영</x:v>
      </x:c>
    </x:row>
    <x:row r="20">
      <x:c r="A20" s="27" t="str">
        <x:v>Scope In/Out 확정</x:v>
      </x:c>
      <x:c r="B20" s="27" t="str">
        <x:v>A</x:v>
      </x:c>
      <x:c r="C20" s="27" t="str">
        <x:v>R</x:v>
      </x:c>
      <x:c r="D20" s="27" t="str">
        <x:v>C</x:v>
      </x:c>
      <x:c r="E20" s="27" t="str">
        <x:v>C</x:v>
      </x:c>
      <x:c r="F20" s="27" t="str">
        <x:v>C</x:v>
      </x:c>
      <x:c r="G20" s="27" t="str">
        <x:v>R</x:v>
      </x:c>
      <x:c r="H20" s="27" t="str">
        <x:v>I</x:v>
      </x:c>
      <x:c r="I20" s="27" t="str">
        <x:v>C</x:v>
      </x:c>
      <x:c r="J20" s="27" t="str">
        <x:v>I</x:v>
      </x:c>
      <x:c r="K20" s="27" t="str">
        <x:v>I</x:v>
      </x:c>
      <x:c r="L20" s="27" t="str">
        <x:v>4장 반영</x:v>
      </x:c>
    </x:row>
    <x:row r="21">
      <x:c r="A21" s="27" t="str">
        <x:v>Backlog 우선순위 결정</x:v>
      </x:c>
      <x:c r="B21" s="27" t="str">
        <x:v>C</x:v>
      </x:c>
      <x:c r="C21" s="27" t="str">
        <x:v>C</x:v>
      </x:c>
      <x:c r="D21" s="27" t="str">
        <x:v>A/R</x:v>
      </x:c>
      <x:c r="E21" s="27" t="str">
        <x:v>I</x:v>
      </x:c>
      <x:c r="F21" s="27" t="str">
        <x:v>I</x:v>
      </x:c>
      <x:c r="G21" s="27" t="str">
        <x:v>C</x:v>
      </x:c>
      <x:c r="H21" s="27" t="str">
        <x:v>C</x:v>
      </x:c>
      <x:c r="I21" s="27" t="str">
        <x:v>C</x:v>
      </x:c>
      <x:c r="J21" s="27" t="str">
        <x:v>I</x:v>
      </x:c>
      <x:c r="K21" s="27" t="str">
        <x:v>R</x:v>
      </x:c>
      <x:c r="L21" s="27" t="str">
        <x:v>Agile 역할</x:v>
      </x:c>
    </x:row>
    <x:row r="22">
      <x:c r="A22" s="27" t="str">
        <x:v>산출물 검토·승인 기준</x:v>
      </x:c>
      <x:c r="B22" s="27" t="str">
        <x:v>I</x:v>
      </x:c>
      <x:c r="C22" s="27" t="str">
        <x:v>A/R</x:v>
      </x:c>
      <x:c r="D22" s="27" t="str">
        <x:v>C</x:v>
      </x:c>
      <x:c r="E22" s="27" t="str">
        <x:v>C</x:v>
      </x:c>
      <x:c r="F22" s="27" t="str">
        <x:v>C</x:v>
      </x:c>
      <x:c r="G22" s="27" t="str">
        <x:v>R</x:v>
      </x:c>
      <x:c r="H22" s="27" t="str">
        <x:v>I</x:v>
      </x:c>
      <x:c r="I22" s="27" t="str">
        <x:v>C</x:v>
      </x:c>
      <x:c r="J22" s="27" t="str">
        <x:v>C</x:v>
      </x:c>
      <x:c r="K22" s="27" t="str">
        <x:v>I</x:v>
      </x:c>
      <x:c r="L22" s="27" t="str">
        <x:v>7장 반영</x:v>
      </x:c>
    </x:row>
    <x:row r="23">
      <x:c r="A23" s="27" t="str">
        <x:v>환경·접근권한 준비</x:v>
      </x:c>
      <x:c r="B23" s="27" t="str">
        <x:v>I</x:v>
      </x:c>
      <x:c r="C23" s="27" t="str">
        <x:v>C</x:v>
      </x:c>
      <x:c r="D23" s="27" t="str">
        <x:v>I</x:v>
      </x:c>
      <x:c r="E23" s="27" t="str">
        <x:v>C</x:v>
      </x:c>
      <x:c r="F23" s="27" t="str">
        <x:v>A/R</x:v>
      </x:c>
      <x:c r="G23" s="27" t="str">
        <x:v>C</x:v>
      </x:c>
      <x:c r="H23" s="27" t="str">
        <x:v>I</x:v>
      </x:c>
      <x:c r="I23" s="27" t="str">
        <x:v>C</x:v>
      </x:c>
      <x:c r="J23" s="27" t="str">
        <x:v>I</x:v>
      </x:c>
      <x:c r="K23" s="27" t="str">
        <x:v>I</x:v>
      </x:c>
      <x:c r="L23" s="27" t="str">
        <x:v>18장 반영</x:v>
      </x:c>
    </x:row>
    <x:row r="24">
      <x:c r="A24" s="27" t="str">
        <x:v>DoR/DoD 합의</x:v>
      </x:c>
      <x:c r="B24" s="27" t="str">
        <x:v>I</x:v>
      </x:c>
      <x:c r="C24" s="27" t="str">
        <x:v>C</x:v>
      </x:c>
      <x:c r="D24" s="27" t="str">
        <x:v>C</x:v>
      </x:c>
      <x:c r="E24" s="27" t="str">
        <x:v>C</x:v>
      </x:c>
      <x:c r="F24" s="27" t="str">
        <x:v>I</x:v>
      </x:c>
      <x:c r="G24" s="27" t="str">
        <x:v>A</x:v>
      </x:c>
      <x:c r="H24" s="27" t="str">
        <x:v>R</x:v>
      </x:c>
      <x:c r="I24" s="27" t="str">
        <x:v>C</x:v>
      </x:c>
      <x:c r="J24" s="27" t="str">
        <x:v>R</x:v>
      </x:c>
      <x:c r="K24" s="27" t="str">
        <x:v>C</x:v>
      </x:c>
      <x:c r="L24" s="27" t="str">
        <x:v>11장 반영</x:v>
      </x:c>
    </x:row>
    <x:row r="25">
      <x:c r="A25" s="27" t="str">
        <x:v>위험/이슈 Escalation</x:v>
      </x:c>
      <x:c r="B25" s="27" t="str">
        <x:v>A</x:v>
      </x:c>
      <x:c r="C25" s="27" t="str">
        <x:v>R</x:v>
      </x:c>
      <x:c r="D25" s="27" t="str">
        <x:v>C</x:v>
      </x:c>
      <x:c r="E25" s="27" t="str">
        <x:v>C</x:v>
      </x:c>
      <x:c r="F25" s="27" t="str">
        <x:v>C</x:v>
      </x:c>
      <x:c r="G25" s="27" t="str">
        <x:v>R</x:v>
      </x:c>
      <x:c r="H25" s="27" t="str">
        <x:v>I</x:v>
      </x:c>
      <x:c r="I25" s="27" t="str">
        <x:v>C</x:v>
      </x:c>
      <x:c r="J25" s="27" t="str">
        <x:v>C</x:v>
      </x:c>
      <x:c r="K25" s="27" t="str">
        <x:v>C</x:v>
      </x:c>
      <x:c r="L25" s="27" t="str">
        <x:v>14장 반영</x:v>
      </x:c>
    </x:row>
    <x:row r="26">
      <x:c r="A26" s="27" t="str">
        <x:v>Day 1 착수 판단</x:v>
      </x:c>
      <x:c r="B26" s="27" t="str">
        <x:v>A</x:v>
      </x:c>
      <x:c r="C26" s="27" t="str">
        <x:v>R</x:v>
      </x:c>
      <x:c r="D26" s="27" t="str">
        <x:v>C</x:v>
      </x:c>
      <x:c r="E26" s="27" t="str">
        <x:v>C</x:v>
      </x:c>
      <x:c r="F26" s="27" t="str">
        <x:v>C</x:v>
      </x:c>
      <x:c r="G26" s="27" t="str">
        <x:v>R</x:v>
      </x:c>
      <x:c r="H26" s="27" t="str">
        <x:v>C</x:v>
      </x:c>
      <x:c r="I26" s="27" t="str">
        <x:v>C</x:v>
      </x:c>
      <x:c r="J26" s="27" t="str">
        <x:v>C</x:v>
      </x:c>
      <x:c r="K26" s="27" t="str">
        <x:v>I</x:v>
      </x:c>
      <x:c r="L26" s="27" t="str">
        <x:v>부록</x:v>
      </x:c>
    </x:row>
  </x:sheetData>
  <x:mergeCells>
    <x:mergeCell ref="A1:L1"/>
    <x:mergeCell ref="A2:L2"/>
    <x:mergeCell ref="A4:L4"/>
    <x:mergeCell ref="A17:L17"/>
  </x:mergeCells>
  <x:dataValidations count="11">
    <x:dataValidation type="list" sqref="H6:H14">
      <x:formula1>"미시작,진행중,완료,지연,미완료,예외승인,해당없음"</x:formula1>
    </x:dataValidation>
    <x:dataValidation type="list" sqref="B19:B60">
      <x:formula1>"R,A,C,I,-"</x:formula1>
    </x:dataValidation>
    <x:dataValidation type="list" sqref="C19:C60">
      <x:formula1>"R,A,C,I,-"</x:formula1>
    </x:dataValidation>
    <x:dataValidation type="list" sqref="D19:D60">
      <x:formula1>"R,A,C,I,-"</x:formula1>
    </x:dataValidation>
    <x:dataValidation type="list" sqref="E19:E60">
      <x:formula1>"R,A,C,I,-"</x:formula1>
    </x:dataValidation>
    <x:dataValidation type="list" sqref="F19:F60">
      <x:formula1>"R,A,C,I,-"</x:formula1>
    </x:dataValidation>
    <x:dataValidation type="list" sqref="G19:G60">
      <x:formula1>"R,A,C,I,-"</x:formula1>
    </x:dataValidation>
    <x:dataValidation type="list" sqref="H19:H60">
      <x:formula1>"R,A,C,I,-"</x:formula1>
    </x:dataValidation>
    <x:dataValidation type="list" sqref="I19:I60">
      <x:formula1>"R,A,C,I,-"</x:formula1>
    </x:dataValidation>
    <x:dataValidation type="list" sqref="J19:J60">
      <x:formula1>"R,A,C,I,-"</x:formula1>
    </x:dataValidation>
    <x:dataValidation type="list" sqref="K19:K60">
      <x:formula1>"R,A,C,I,-"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e81d3d48616472e"/>
    <x:tablePart xmlns:r="http://schemas.openxmlformats.org/officeDocument/2006/relationships" r:id="Rcb43e1115cdb4ad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42" hidden="0" customWidth="1"/>
    <x:col min="5" max="5" width="14" hidden="0" customWidth="1"/>
    <x:col min="6" max="6" width="20" hidden="0" customWidth="1"/>
    <x:col min="7" max="7" width="28" hidden="0" customWidth="1"/>
    <x:col min="8" max="8" width="24" hidden="0" customWidth="1"/>
    <x:col min="9" max="9" width="14" hidden="0" customWidth="1"/>
    <x:col min="10" max="10" width="25" hidden="0" customWidth="1"/>
  </x:cols>
  <x:sheetData>
    <x:row r="1" ht="28" customHeight="1">
      <x:c r="A1" s="42" t="str">
        <x:v>의사소통관리 및 프로젝트 운영 주기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전통적 보고체계와 Agile Ceremony를 함께 정의합니다. 사업수행계획서 13장 및 일정계획에 반영됩니다.</x:v>
      </x:c>
    </x:row>
    <x:row r="4">
      <x:c r="A4" s="20" t="str">
        <x:v>구분</x:v>
      </x:c>
      <x:c r="B4" s="20" t="str">
        <x:v>회의체/활동</x:v>
      </x:c>
      <x:c r="C4" s="20" t="str">
        <x:v>Agile 유지</x:v>
      </x:c>
      <x:c r="D4" s="20" t="str">
        <x:v>목적</x:v>
      </x:c>
      <x:c r="E4" s="20" t="str">
        <x:v>주기</x:v>
      </x:c>
      <x:c r="F4" s="20" t="str">
        <x:v>주관</x:v>
      </x:c>
      <x:c r="G4" s="20" t="str">
        <x:v>참석자</x:v>
      </x:c>
      <x:c r="H4" s="20" t="str">
        <x:v>주요 산출물</x:v>
      </x:c>
      <x:c r="I4" s="20" t="str">
        <x:v>상태</x:v>
      </x:c>
      <x:c r="J4" s="20" t="str">
        <x:v>비고</x:v>
      </x:c>
    </x:row>
    <x:row r="5">
      <x:c r="A5" s="27" t="str">
        <x:v>공식보고</x:v>
      </x:c>
      <x:c r="B5" s="27" t="str">
        <x:v>착수보고/착수회의</x:v>
      </x:c>
      <x:c r="C5" s="27" t="str">
        <x:v>N</x:v>
      </x:c>
      <x:c r="D5" s="27" t="str">
        <x:v>프로젝트 목표·범위·조직·운영방식 공식 공유</x:v>
      </x:c>
      <x:c r="E5" s="27" t="str">
        <x:v>1회</x:v>
      </x:c>
      <x:c r="F5" s="27" t="str">
        <x:v>PM</x:v>
      </x:c>
      <x:c r="G5" s="27" t="str">
        <x:v>Sponsor, 고객 PM, 수행팀</x:v>
      </x:c>
      <x:c r="H5" s="27" t="str">
        <x:v>착수보고서/회의록</x:v>
      </x:c>
      <x:c r="I5" s="27" t="str">
        <x:v>미시작</x:v>
      </x:c>
      <x:c r="J5" s="27" t="str"/>
    </x:row>
    <x:row r="6">
      <x:c r="A6" s="27" t="str">
        <x:v>공식보고</x:v>
      </x:c>
      <x:c r="B6" s="27" t="str">
        <x:v>주간보고</x:v>
      </x:c>
      <x:c r="C6" s="27" t="str">
        <x:v>N</x:v>
      </x:c>
      <x:c r="D6" s="27" t="str">
        <x:v>일정, 리스크, 이슈, 차주계획 보고</x:v>
      </x:c>
      <x:c r="E6" s="27" t="str">
        <x:v>주 1회</x:v>
      </x:c>
      <x:c r="F6" s="27" t="str">
        <x:v>PM/사업관리</x:v>
      </x:c>
      <x:c r="G6" s="27" t="str">
        <x:v>고객 PM, PL</x:v>
      </x:c>
      <x:c r="H6" s="27" t="str">
        <x:v>주간보고서</x:v>
      </x:c>
      <x:c r="I6" s="27" t="str">
        <x:v>미시작</x:v>
      </x:c>
      <x:c r="J6" s="27" t="str"/>
    </x:row>
    <x:row r="7">
      <x:c r="A7" s="27" t="str">
        <x:v>공식보고</x:v>
      </x:c>
      <x:c r="B7" s="27" t="str">
        <x:v>월간보고</x:v>
      </x:c>
      <x:c r="C7" s="27" t="str">
        <x:v>N</x:v>
      </x:c>
      <x:c r="D7" s="27" t="str">
        <x:v>월간 진척 및 주요 이슈 보고</x:v>
      </x:c>
      <x:c r="E7" s="27" t="str">
        <x:v>월 1회</x:v>
      </x:c>
      <x:c r="F7" s="27" t="str">
        <x:v>PM</x:v>
      </x:c>
      <x:c r="G7" s="27" t="str">
        <x:v>고객 PM, Sponsor</x:v>
      </x:c>
      <x:c r="H7" s="27" t="str">
        <x:v>월간보고서</x:v>
      </x:c>
      <x:c r="I7" s="27" t="str">
        <x:v>미시작</x:v>
      </x:c>
      <x:c r="J7" s="27" t="str"/>
    </x:row>
    <x:row r="8">
      <x:c r="A8" s="27" t="str">
        <x:v>Agile</x:v>
      </x:c>
      <x:c r="B8" s="27" t="str">
        <x:v>Daily Stand-up</x:v>
      </x:c>
      <x:c r="C8" s="27" t="str">
        <x:v>Y</x:v>
      </x:c>
      <x:c r="D8" s="27" t="str">
        <x:v>전일/금일 작업 및 장애요인 공유</x:v>
      </x:c>
      <x:c r="E8" s="27" t="str">
        <x:v>매일</x:v>
      </x:c>
      <x:c r="F8" s="27" t="str">
        <x:v>Scrum Master</x:v>
      </x:c>
      <x:c r="G8" s="27" t="str">
        <x:v>수행팀</x:v>
      </x:c>
      <x:c r="H8" s="27" t="str">
        <x:v>Daily Note</x:v>
      </x:c>
      <x:c r="I8" s="27" t="str">
        <x:v>미시작</x:v>
      </x:c>
      <x:c r="J8" s="27" t="str">
        <x:v>필요 시 축소 운영</x:v>
      </x:c>
    </x:row>
    <x:row r="9">
      <x:c r="A9" s="27" t="str">
        <x:v>Agile</x:v>
      </x:c>
      <x:c r="B9" s="27" t="str">
        <x:v>Sprint Planning</x:v>
      </x:c>
      <x:c r="C9" s="27" t="str">
        <x:v>Y</x:v>
      </x:c>
      <x:c r="D9" s="27" t="str">
        <x:v>Sprint 목표와 Sprint Backlog 확정</x:v>
      </x:c>
      <x:c r="E9" s="27" t="str">
        <x:v>Sprint 시작</x:v>
      </x:c>
      <x:c r="F9" s="27" t="str">
        <x:v>Scrum Master/PO</x:v>
      </x:c>
      <x:c r="G9" s="27" t="str">
        <x:v>PO, PM, 팀</x:v>
      </x:c>
      <x:c r="H9" s="27" t="str">
        <x:v>Sprint Plan</x:v>
      </x:c>
      <x:c r="I9" s="27" t="str">
        <x:v>미시작</x:v>
      </x:c>
      <x:c r="J9" s="27" t="str"/>
    </x:row>
    <x:row r="10">
      <x:c r="A10" s="27" t="str">
        <x:v>Agile</x:v>
      </x:c>
      <x:c r="B10" s="27" t="str">
        <x:v>Backlog Refinement</x:v>
      </x:c>
      <x:c r="C10" s="27" t="str">
        <x:v>Y</x:v>
      </x:c>
      <x:c r="D10" s="27" t="str">
        <x:v>Backlog 상세화 및 우선순위 보완</x:v>
      </x:c>
      <x:c r="E10" s="27" t="str">
        <x:v>주 1회</x:v>
      </x:c>
      <x:c r="F10" s="27" t="str">
        <x:v>PO</x:v>
      </x:c>
      <x:c r="G10" s="27" t="str">
        <x:v>PO, BA, Architect</x:v>
      </x:c>
      <x:c r="H10" s="27" t="str">
        <x:v>Backlog Update</x:v>
      </x:c>
      <x:c r="I10" s="27" t="str">
        <x:v>미시작</x:v>
      </x:c>
      <x:c r="J10" s="27" t="str"/>
    </x:row>
    <x:row r="11">
      <x:c r="A11" s="27" t="str">
        <x:v>Agile</x:v>
      </x:c>
      <x:c r="B11" s="27" t="str">
        <x:v>Sprint Review</x:v>
      </x:c>
      <x:c r="C11" s="27" t="str">
        <x:v>Y</x:v>
      </x:c>
      <x:c r="D11" s="27" t="str">
        <x:v>Sprint 결과 검토 및 피드백</x:v>
      </x:c>
      <x:c r="E11" s="27" t="str">
        <x:v>Sprint 종료</x:v>
      </x:c>
      <x:c r="F11" s="27" t="str">
        <x:v>PO/Scrum Master</x:v>
      </x:c>
      <x:c r="G11" s="27" t="str">
        <x:v>고객 PO, PM, 팀</x:v>
      </x:c>
      <x:c r="H11" s="27" t="str">
        <x:v>Review Note</x:v>
      </x:c>
      <x:c r="I11" s="27" t="str">
        <x:v>미시작</x:v>
      </x:c>
      <x:c r="J11" s="27" t="str"/>
    </x:row>
    <x:row r="12">
      <x:c r="A12" s="27" t="str">
        <x:v>Agile</x:v>
      </x:c>
      <x:c r="B12" s="27" t="str">
        <x:v>Sprint Retrospective</x:v>
      </x:c>
      <x:c r="C12" s="27" t="str">
        <x:v>Y</x:v>
      </x:c>
      <x:c r="D12" s="27" t="str">
        <x:v>팀 개선사항 도출</x:v>
      </x:c>
      <x:c r="E12" s="27" t="str">
        <x:v>Sprint 종료</x:v>
      </x:c>
      <x:c r="F12" s="27" t="str">
        <x:v>Scrum Master</x:v>
      </x:c>
      <x:c r="G12" s="27" t="str">
        <x:v>수행팀</x:v>
      </x:c>
      <x:c r="H12" s="27" t="str">
        <x:v>Retrospective Note</x:v>
      </x:c>
      <x:c r="I12" s="27" t="str">
        <x:v>미시작</x:v>
      </x:c>
      <x:c r="J12" s="27" t="str"/>
    </x:row>
    <x:row r="13">
      <x:c r="A13" s="27" t="str">
        <x:v>의사결정</x:v>
      </x:c>
      <x:c r="B13" s="27" t="str">
        <x:v>의사결정회의/Steering</x:v>
      </x:c>
      <x:c r="C13" s="27" t="str">
        <x:v>N</x:v>
      </x:c>
      <x:c r="D13" s="27" t="str">
        <x:v>주요 리스크, 범위, 일정 의사결정</x:v>
      </x:c>
      <x:c r="E13" s="27" t="str">
        <x:v>격주/월 1회</x:v>
      </x:c>
      <x:c r="F13" s="27" t="str">
        <x:v>PM/고객 PM</x:v>
      </x:c>
      <x:c r="G13" s="27" t="str">
        <x:v>Sponsor, 고객 PM, PM</x:v>
      </x:c>
      <x:c r="H13" s="27" t="str">
        <x:v>Decision Log</x:v>
      </x:c>
      <x:c r="I13" s="27" t="str">
        <x:v>미시작</x:v>
      </x:c>
      <x:c r="J13" s="27" t="str"/>
    </x:row>
    <x:row r="14">
      <x:c r="A14" s="27" t="str">
        <x:v>품질</x:v>
      </x:c>
      <x:c r="B14" s="27" t="str">
        <x:v>품질점검회의</x:v>
      </x:c>
      <x:c r="C14" s="27" t="str">
        <x:v>N</x:v>
      </x:c>
      <x:c r="D14" s="27" t="str">
        <x:v>산출물 품질 및 프로세스 점검</x:v>
      </x:c>
      <x:c r="E14" s="27" t="str">
        <x:v>단계별</x:v>
      </x:c>
      <x:c r="F14" s="27" t="str">
        <x:v>QA</x:v>
      </x:c>
      <x:c r="G14" s="27" t="str">
        <x:v>QA, PM, PL</x:v>
      </x:c>
      <x:c r="H14" s="27" t="str">
        <x:v>품질점검 결과서</x:v>
      </x:c>
      <x:c r="I14" s="27" t="str">
        <x:v>미시작</x:v>
      </x:c>
      <x:c r="J14" s="27" t="str"/>
    </x:row>
  </x:sheetData>
  <x:mergeCells>
    <x:mergeCell ref="A1:J1"/>
    <x:mergeCell ref="A2:J2"/>
  </x:mergeCells>
  <x:dataValidations count="2">
    <x:dataValidation type="list" sqref="C5:C60">
      <x:formula1>"Y,N"</x:formula1>
    </x:dataValidation>
    <x:dataValidation type="list" sqref="I5:I60">
      <x:formula1>"미시작,진행중,완료,지연,미완료,예외승인,해당없음"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44437f03c347d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55" hidden="0" customWidth="1"/>
    <x:col min="9" max="9" width="14" hidden="0" customWidth="1"/>
    <x:col min="10" max="10" width="28" hidden="0" customWidth="1"/>
  </x:cols>
  <x:sheetData>
    <x:row r="1" ht="28" customHeight="1">
      <x:c r="A1" s="42" t="str">
        <x:v>산출물 검토·승인 기준 정의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사업수행계획서의 산출물 계획을 실행형 Matrix로 전환합니다. Acceptance Criteria는 Agile 용어를 유지합니다.</x:v>
      </x:c>
    </x:row>
    <x:row r="4">
      <x:c r="A4" s="20" t="str">
        <x:v>단계</x:v>
      </x:c>
      <x:c r="B4" s="20" t="str">
        <x:v>산출물</x:v>
      </x:c>
      <x:c r="C4" s="20" t="str">
        <x:v>유형</x:v>
      </x:c>
      <x:c r="D4" s="20" t="str">
        <x:v>작성자</x:v>
      </x:c>
      <x:c r="E4" s="20" t="str">
        <x:v>검토자</x:v>
      </x:c>
      <x:c r="F4" s="20" t="str">
        <x:v>승인자</x:v>
      </x:c>
      <x:c r="G4" s="20" t="str">
        <x:v>제출 시점</x:v>
      </x:c>
      <x:c r="H4" s="20" t="str">
        <x:v>Acceptance Criteria</x:v>
      </x:c>
      <x:c r="I4" s="20" t="str">
        <x:v>상태</x:v>
      </x:c>
      <x:c r="J4" s="20" t="str">
        <x:v>비고</x:v>
      </x:c>
    </x:row>
    <x:row r="5">
      <x:c r="A5" s="27" t="str">
        <x:v>착수</x:v>
      </x:c>
      <x:c r="B5" s="27" t="str">
        <x:v>사업수행계획서</x:v>
      </x:c>
      <x:c r="C5" s="27" t="str">
        <x:v>사업관리</x:v>
      </x:c>
      <x:c r="D5" s="27" t="str">
        <x:v>PM</x:v>
      </x:c>
      <x:c r="E5" s="27" t="str">
        <x:v>PL, QA</x:v>
      </x:c>
      <x:c r="F5" s="27" t="str">
        <x:v>고객 PM</x:v>
      </x:c>
      <x:c r="G5" s="27" t="str">
        <x:v>Sprint 0 종료 후</x:v>
      </x:c>
      <x:c r="H5" s="27" t="str">
        <x:v>사업개요, 범위, 조직, 산출물, 일정, 품질, 의사소통, 위험관리 포함</x:v>
      </x:c>
      <x:c r="I5" s="27" t="str">
        <x:v>미시작</x:v>
      </x:c>
      <x:c r="J5" s="27" t="str">
        <x:v>0.6~1.0 버전관리</x:v>
      </x:c>
    </x:row>
    <x:row r="6">
      <x:c r="A6" s="27" t="str">
        <x:v>착수</x:v>
      </x:c>
      <x:c r="B6" s="27" t="str">
        <x:v>WBS/일정계획</x:v>
      </x:c>
      <x:c r="C6" s="27" t="str">
        <x:v>사업관리</x:v>
      </x:c>
      <x:c r="D6" s="27" t="str">
        <x:v>PM/PL</x:v>
      </x:c>
      <x:c r="E6" s="27" t="str">
        <x:v>고객 PM</x:v>
      </x:c>
      <x:c r="F6" s="27" t="str">
        <x:v>PM</x:v>
      </x:c>
      <x:c r="G6" s="27" t="str">
        <x:v>Sprint 0 후</x:v>
      </x:c>
      <x:c r="H6" s="27" t="str">
        <x:v>Level 1~2 일정과 Sprint 1 계획 포함</x:v>
      </x:c>
      <x:c r="I6" s="27" t="str">
        <x:v>미시작</x:v>
      </x:c>
      <x:c r="J6" s="27" t="str">
        <x:v>상세 WBS 후속 보완</x:v>
      </x:c>
    </x:row>
    <x:row r="7">
      <x:c r="A7" s="27" t="str">
        <x:v>착수</x:v>
      </x:c>
      <x:c r="B7" s="27" t="str">
        <x:v>착수보고서</x:v>
      </x:c>
      <x:c r="C7" s="27" t="str">
        <x:v>사업관리</x:v>
      </x:c>
      <x:c r="D7" s="27" t="str">
        <x:v>PM</x:v>
      </x:c>
      <x:c r="E7" s="27" t="str">
        <x:v>PL, QA</x:v>
      </x:c>
      <x:c r="F7" s="27" t="str">
        <x:v>고객 PM</x:v>
      </x:c>
      <x:c r="G7" s="27" t="str">
        <x:v>Kick-off 전</x:v>
      </x:c>
      <x:c r="H7" s="27" t="str">
        <x:v>목표, 범위, 조직, 일정, 운영방식, 주요 리스크 포함</x:v>
      </x:c>
      <x:c r="I7" s="27" t="str">
        <x:v>미시작</x:v>
      </x:c>
      <x:c r="J7" s="27" t="str"/>
    </x:row>
    <x:row r="8">
      <x:c r="A8" s="27" t="str">
        <x:v>수행</x:v>
      </x:c>
      <x:c r="B8" s="27" t="str">
        <x:v>주간보고서</x:v>
      </x:c>
      <x:c r="C8" s="27" t="str">
        <x:v>사업관리</x:v>
      </x:c>
      <x:c r="D8" s="27" t="str">
        <x:v>사업관리</x:v>
      </x:c>
      <x:c r="E8" s="27" t="str">
        <x:v>PM</x:v>
      </x:c>
      <x:c r="F8" s="27" t="str">
        <x:v>고객 PM</x:v>
      </x:c>
      <x:c r="G8" s="27" t="str">
        <x:v>매주</x:v>
      </x:c>
      <x:c r="H8" s="27" t="str">
        <x:v>진척, 지연, 위험, 이슈, Action Item 포함</x:v>
      </x:c>
      <x:c r="I8" s="27" t="str">
        <x:v>미시작</x:v>
      </x:c>
      <x:c r="J8" s="27" t="str"/>
    </x:row>
    <x:row r="9">
      <x:c r="A9" s="27" t="str">
        <x:v>수행</x:v>
      </x:c>
      <x:c r="B9" s="27" t="str">
        <x:v>회의록</x:v>
      </x:c>
      <x:c r="C9" s="27" t="str">
        <x:v>사업관리</x:v>
      </x:c>
      <x:c r="D9" s="27" t="str">
        <x:v>회의 주관자</x:v>
      </x:c>
      <x:c r="E9" s="27" t="str">
        <x:v>PM/PL</x:v>
      </x:c>
      <x:c r="F9" s="27" t="str">
        <x:v>고객 PM 또는 참석자</x:v>
      </x:c>
      <x:c r="G9" s="27" t="str">
        <x:v>회의 후</x:v>
      </x:c>
      <x:c r="H9" s="27" t="str">
        <x:v>결정사항, Action Item, Owner, Due Date 포함</x:v>
      </x:c>
      <x:c r="I9" s="27" t="str">
        <x:v>미시작</x:v>
      </x:c>
      <x:c r="J9" s="27" t="str"/>
    </x:row>
    <x:row r="10">
      <x:c r="A10" s="27" t="str">
        <x:v>분석</x:v>
      </x:c>
      <x:c r="B10" s="27" t="str">
        <x:v>요구사항정의서</x:v>
      </x:c>
      <x:c r="C10" s="27" t="str">
        <x:v>개발</x:v>
      </x:c>
      <x:c r="D10" s="27" t="str">
        <x:v>BA/PL</x:v>
      </x:c>
      <x:c r="E10" s="27" t="str">
        <x:v>PO, Architect</x:v>
      </x:c>
      <x:c r="F10" s="27" t="str">
        <x:v>고객 PM</x:v>
      </x:c>
      <x:c r="G10" s="27" t="str">
        <x:v>분석 종료</x:v>
      </x:c>
      <x:c r="H10" s="27" t="str">
        <x:v>요구사항, 우선순위, Acceptance Criteria 포함</x:v>
      </x:c>
      <x:c r="I10" s="27" t="str">
        <x:v>미시작</x:v>
      </x:c>
      <x:c r="J10" s="27" t="str"/>
    </x:row>
    <x:row r="11">
      <x:c r="A11" s="27" t="str">
        <x:v>분석</x:v>
      </x:c>
      <x:c r="B11" s="27" t="str">
        <x:v>요구사항추적표</x:v>
      </x:c>
      <x:c r="C11" s="27" t="str">
        <x:v>개발</x:v>
      </x:c>
      <x:c r="D11" s="27" t="str">
        <x:v>BA/QA</x:v>
      </x:c>
      <x:c r="E11" s="27" t="str">
        <x:v>PL</x:v>
      </x:c>
      <x:c r="F11" s="27" t="str">
        <x:v>PM</x:v>
      </x:c>
      <x:c r="G11" s="27" t="str">
        <x:v>분석 이후 지속</x:v>
      </x:c>
      <x:c r="H11" s="27" t="str">
        <x:v>요구사항-설계-개발-테스트 추적 가능</x:v>
      </x:c>
      <x:c r="I11" s="27" t="str">
        <x:v>미시작</x:v>
      </x:c>
      <x:c r="J11" s="27" t="str"/>
    </x:row>
    <x:row r="12">
      <x:c r="A12" s="27" t="str">
        <x:v>수행</x:v>
      </x:c>
      <x:c r="B12" s="27" t="str">
        <x:v>변경요청서</x:v>
      </x:c>
      <x:c r="C12" s="27" t="str">
        <x:v>사업관리</x:v>
      </x:c>
      <x:c r="D12" s="27" t="str">
        <x:v>PM/요청자</x:v>
      </x:c>
      <x:c r="E12" s="27" t="str">
        <x:v>PL, QA</x:v>
      </x:c>
      <x:c r="F12" s="27" t="str">
        <x:v>고객 PM</x:v>
      </x:c>
      <x:c r="G12" s="27" t="str">
        <x:v>변경 발생 시</x:v>
      </x:c>
      <x:c r="H12" s="27" t="str">
        <x:v>영향도, 일정/비용/품질 영향, 승인 여부 포함</x:v>
      </x:c>
      <x:c r="I12" s="27" t="str">
        <x:v>미시작</x:v>
      </x:c>
      <x:c r="J12" s="27" t="str"/>
    </x:row>
    <x:row r="13">
      <x:c r="A13" s="27" t="str">
        <x:v>품질</x:v>
      </x:c>
      <x:c r="B13" s="27" t="str">
        <x:v>품질점검 결과서</x:v>
      </x:c>
      <x:c r="C13" s="27" t="str">
        <x:v>품질</x:v>
      </x:c>
      <x:c r="D13" s="27" t="str">
        <x:v>QA</x:v>
      </x:c>
      <x:c r="E13" s="27" t="str">
        <x:v>PM, PL</x:v>
      </x:c>
      <x:c r="F13" s="27" t="str">
        <x:v>PM</x:v>
      </x:c>
      <x:c r="G13" s="27" t="str">
        <x:v>품질점검 후</x:v>
      </x:c>
      <x:c r="H13" s="27" t="str">
        <x:v>점검 결과, 부적합, 시정조치, 완료일 포함</x:v>
      </x:c>
      <x:c r="I13" s="27" t="str">
        <x:v>미시작</x:v>
      </x:c>
      <x:c r="J13" s="27" t="str"/>
    </x:row>
    <x:row r="14">
      <x:c r="A14" s="27" t="str">
        <x:v>위험</x:v>
      </x:c>
      <x:c r="B14" s="27" t="str">
        <x:v>위험및이슈관리대장</x:v>
      </x:c>
      <x:c r="C14" s="27" t="str">
        <x:v>사업관리</x:v>
      </x:c>
      <x:c r="D14" s="27" t="str">
        <x:v>PM</x:v>
      </x:c>
      <x:c r="E14" s="27" t="str">
        <x:v>PL, 고객 PM</x:v>
      </x:c>
      <x:c r="F14" s="27" t="str">
        <x:v>PM</x:v>
      </x:c>
      <x:c r="G14" s="27" t="str">
        <x:v>주간</x:v>
      </x:c>
      <x:c r="H14" s="27" t="str">
        <x:v>Risk/Issue/Decision/Dependency, Owner, Due Date 포함</x:v>
      </x:c>
      <x:c r="I14" s="27" t="str">
        <x:v>미시작</x:v>
      </x:c>
      <x:c r="J14" s="27" t="str"/>
    </x:row>
    <x:row r="15">
      <x:c r="A15" s="27" t="str">
        <x:v>보안</x:v>
      </x:c>
      <x:c r="B15" s="27" t="str">
        <x:v>보안점검 대장</x:v>
      </x:c>
      <x:c r="C15" s="27" t="str">
        <x:v>보안</x:v>
      </x:c>
      <x:c r="D15" s="27" t="str">
        <x:v>보안담당</x:v>
      </x:c>
      <x:c r="E15" s="27" t="str">
        <x:v>PM</x:v>
      </x:c>
      <x:c r="F15" s="27" t="str">
        <x:v>고객 보안</x:v>
      </x:c>
      <x:c r="G15" s="27" t="str">
        <x:v>보안점검 시</x:v>
      </x:c>
      <x:c r="H15" s="27" t="str">
        <x:v>보안교육, 계정, 자료반출, 권한점검 결과 포함</x:v>
      </x:c>
      <x:c r="I15" s="27" t="str">
        <x:v>미시작</x:v>
      </x:c>
      <x:c r="J15" s="27" t="str"/>
    </x:row>
    <x:row r="16">
      <x:c r="A16" s="27" t="str">
        <x:v>이행</x:v>
      </x:c>
      <x:c r="B16" s="27" t="str">
        <x:v>업무 전환 체크리스트</x:v>
      </x:c>
      <x:c r="C16" s="27" t="str">
        <x:v>개발/운영</x:v>
      </x:c>
      <x:c r="D16" s="27" t="str">
        <x:v>운영/PM</x:v>
      </x:c>
      <x:c r="E16" s="27" t="str">
        <x:v>PL, QA</x:v>
      </x:c>
      <x:c r="F16" s="27" t="str">
        <x:v>고객 PM</x:v>
      </x:c>
      <x:c r="G16" s="27" t="str">
        <x:v>오픈 전</x:v>
      </x:c>
      <x:c r="H16" s="27" t="str">
        <x:v>오픈 기준, Rollback, 운영담당, 교육 완료 여부 포함</x:v>
      </x:c>
      <x:c r="I16" s="27" t="str">
        <x:v>미시작</x:v>
      </x:c>
      <x:c r="J16" s="27" t="str"/>
    </x:row>
  </x:sheetData>
  <x:mergeCells>
    <x:mergeCell ref="A1:J1"/>
    <x:mergeCell ref="A2:J2"/>
  </x:mergeCells>
  <x:dataValidations count="1">
    <x:dataValidation type="list" sqref="I5:I80">
      <x:formula1>"미시작,진행중,완료,지연,미완료,예외승인,해당없음"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7aa34c6bed4d9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2" hidden="0" customWidth="1"/>
    <x:col min="4" max="4" width="22" hidden="0" customWidth="1"/>
    <x:col min="5" max="5" width="16" hidden="0" customWidth="1"/>
    <x:col min="6" max="6" width="16" hidden="0" customWidth="1"/>
    <x:col min="7" max="7" width="20" hidden="0" customWidth="1"/>
    <x:col min="8" max="8" width="14" hidden="0" customWidth="1"/>
    <x:col min="9" max="9" width="14" hidden="0" customWidth="1"/>
    <x:col min="10" max="10" width="12" hidden="0" customWidth="1"/>
    <x:col min="11" max="11" width="16" hidden="0" customWidth="1"/>
    <x:col min="12" max="12" width="32" hidden="0" customWidth="1"/>
  </x:cols>
  <x:sheetData>
    <x:row r="1" ht="28" customHeight="1">
      <x:c r="A1" s="42" t="str">
        <x:v>환경·도구·접근권한 준비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협업도구, 문서/소스 저장소, 고객사 시스템, 클라우드/플랫폼, 개발·검증·운영 환경의 접근 가능 여부를 확인합니다.</x:v>
      </x:c>
    </x:row>
    <x:row r="4">
      <x:c r="A4" s="20" t="str">
        <x:v>영역</x:v>
      </x:c>
      <x:c r="B4" s="20" t="str">
        <x:v>도구/환경/시스템</x:v>
      </x:c>
      <x:c r="C4" s="20" t="str">
        <x:v>용도</x:v>
      </x:c>
      <x:c r="D4" s="20" t="str">
        <x:v>대상자</x:v>
      </x:c>
      <x:c r="E4" s="20" t="str">
        <x:v>권한수준</x:v>
      </x:c>
      <x:c r="F4" s="20" t="str">
        <x:v>요청자</x:v>
      </x:c>
      <x:c r="G4" s="20" t="str">
        <x:v>승인자</x:v>
      </x:c>
      <x:c r="H4" s="20" t="str">
        <x:v>필요일</x:v>
      </x:c>
      <x:c r="I4" s="20" t="str">
        <x:v>상태</x:v>
      </x:c>
      <x:c r="J4" s="20" t="str">
        <x:v>Day1 필수</x:v>
      </x:c>
      <x:c r="K4" s="20" t="str">
        <x:v>관련 Risk ID</x:v>
      </x:c>
      <x:c r="L4" s="20" t="str">
        <x:v>비고</x:v>
      </x:c>
    </x:row>
    <x:row r="5">
      <x:c r="A5" s="27" t="str">
        <x:v>협업</x:v>
      </x:c>
      <x:c r="B5" s="27" t="str">
        <x:v>메신저/화상회의</x:v>
      </x:c>
      <x:c r="C5" s="27" t="str">
        <x:v>회의 및 커뮤니케이션</x:v>
      </x:c>
      <x:c r="D5" s="27" t="str">
        <x:v>전체 팀</x:v>
      </x:c>
      <x:c r="E5" s="27" t="str">
        <x:v>Member</x:v>
      </x:c>
      <x:c r="F5" s="27" t="str">
        <x:v>PM</x:v>
      </x:c>
      <x:c r="G5" s="27" t="str">
        <x:v>고객 PM</x:v>
      </x:c>
      <x:c r="H5" s="27" t="str"/>
      <x:c r="I5" s="27" t="str">
        <x:v>미시작</x:v>
      </x:c>
      <x:c r="J5" s="27" t="str">
        <x:v>Y</x:v>
      </x:c>
      <x:c r="K5" s="27" t="str"/>
      <x:c r="L5" s="27" t="str"/>
    </x:row>
    <x:row r="6">
      <x:c r="A6" s="27" t="str">
        <x:v>일정/이슈</x:v>
      </x:c>
      <x:c r="B6" s="27" t="str">
        <x:v>이슈관리 도구</x:v>
      </x:c>
      <x:c r="C6" s="27" t="str">
        <x:v>Backlog, Sprint, Issue 관리</x:v>
      </x:c>
      <x:c r="D6" s="27" t="str">
        <x:v>전체 팀</x:v>
      </x:c>
      <x:c r="E6" s="27" t="str">
        <x:v>Project Member</x:v>
      </x:c>
      <x:c r="F6" s="27" t="str">
        <x:v>Scrum Master</x:v>
      </x:c>
      <x:c r="G6" s="27" t="str">
        <x:v>PM</x:v>
      </x:c>
      <x:c r="H6" s="27" t="str"/>
      <x:c r="I6" s="27" t="str">
        <x:v>미시작</x:v>
      </x:c>
      <x:c r="J6" s="27" t="str">
        <x:v>Y</x:v>
      </x:c>
      <x:c r="K6" s="27" t="str"/>
      <x:c r="L6" s="27" t="str">
        <x:v>Agile 운영 필수</x:v>
      </x:c>
    </x:row>
    <x:row r="7">
      <x:c r="A7" s="27" t="str">
        <x:v>문서</x:v>
      </x:c>
      <x:c r="B7" s="27" t="str">
        <x:v>문서저장소</x:v>
      </x:c>
      <x:c r="C7" s="27" t="str">
        <x:v>산출물, 회의록, 보고서 저장</x:v>
      </x:c>
      <x:c r="D7" s="27" t="str">
        <x:v>전체 팀</x:v>
      </x:c>
      <x:c r="E7" s="27" t="str">
        <x:v>Read/Write</x:v>
      </x:c>
      <x:c r="F7" s="27" t="str">
        <x:v>사업관리</x:v>
      </x:c>
      <x:c r="G7" s="27" t="str">
        <x:v>PM</x:v>
      </x:c>
      <x:c r="H7" s="27" t="str"/>
      <x:c r="I7" s="27" t="str">
        <x:v>미시작</x:v>
      </x:c>
      <x:c r="J7" s="27" t="str">
        <x:v>Y</x:v>
      </x:c>
      <x:c r="K7" s="27" t="str"/>
      <x:c r="L7" s="27" t="str">
        <x:v>형상관리/백업 연계</x:v>
      </x:c>
    </x:row>
    <x:row r="8">
      <x:c r="A8" s="27" t="str">
        <x:v>소스</x:v>
      </x:c>
      <x:c r="B8" s="27" t="str">
        <x:v>소스저장소</x:v>
      </x:c>
      <x:c r="C8" s="27" t="str">
        <x:v>소스코드 및 형상관리</x:v>
      </x:c>
      <x:c r="D8" s="27" t="str">
        <x:v>개발팀</x:v>
      </x:c>
      <x:c r="E8" s="27" t="str">
        <x:v>Developer</x:v>
      </x:c>
      <x:c r="F8" s="27" t="str">
        <x:v>Tech Lead</x:v>
      </x:c>
      <x:c r="G8" s="27" t="str">
        <x:v>고객 IT/PM</x:v>
      </x:c>
      <x:c r="H8" s="27" t="str"/>
      <x:c r="I8" s="27" t="str">
        <x:v>미시작</x:v>
      </x:c>
      <x:c r="J8" s="27" t="str">
        <x:v>Y</x:v>
      </x:c>
      <x:c r="K8" s="27" t="str"/>
      <x:c r="L8" s="27" t="str"/>
    </x:row>
    <x:row r="9">
      <x:c r="A9" s="27" t="str">
        <x:v>환경</x:v>
      </x:c>
      <x:c r="B9" s="27" t="str">
        <x:v>개발 환경</x:v>
      </x:c>
      <x:c r="C9" s="27" t="str">
        <x:v>개발 및 단위 테스트</x:v>
      </x:c>
      <x:c r="D9" s="27" t="str">
        <x:v>개발팀</x:v>
      </x:c>
      <x:c r="E9" s="27" t="str">
        <x:v>Developer</x:v>
      </x:c>
      <x:c r="F9" s="27" t="str">
        <x:v>Architect</x:v>
      </x:c>
      <x:c r="G9" s="27" t="str">
        <x:v>고객 IT</x:v>
      </x:c>
      <x:c r="H9" s="27" t="str"/>
      <x:c r="I9" s="27" t="str">
        <x:v>미시작</x:v>
      </x:c>
      <x:c r="J9" s="27" t="str">
        <x:v>Y</x:v>
      </x:c>
      <x:c r="K9" s="27" t="str"/>
      <x:c r="L9" s="27" t="str"/>
    </x:row>
    <x:row r="10">
      <x:c r="A10" s="27" t="str">
        <x:v>환경</x:v>
      </x:c>
      <x:c r="B10" s="27" t="str">
        <x:v>검증 환경</x:v>
      </x:c>
      <x:c r="C10" s="27" t="str">
        <x:v>통합/시스템 테스트</x:v>
      </x:c>
      <x:c r="D10" s="27" t="str">
        <x:v>개발팀, QA</x:v>
      </x:c>
      <x:c r="E10" s="27" t="str">
        <x:v>Tester</x:v>
      </x:c>
      <x:c r="F10" s="27" t="str">
        <x:v>Architect</x:v>
      </x:c>
      <x:c r="G10" s="27" t="str">
        <x:v>고객 IT</x:v>
      </x:c>
      <x:c r="H10" s="27" t="str"/>
      <x:c r="I10" s="27" t="str">
        <x:v>미시작</x:v>
      </x:c>
      <x:c r="J10" s="27" t="str">
        <x:v>N</x:v>
      </x:c>
      <x:c r="K10" s="27" t="str"/>
      <x:c r="L10" s="27" t="str">
        <x:v>Day1 이후 가능하면 완료일 필요</x:v>
      </x:c>
    </x:row>
    <x:row r="11">
      <x:c r="A11" s="27" t="str">
        <x:v>환경</x:v>
      </x:c>
      <x:c r="B11" s="27" t="str">
        <x:v>운영 환경</x:v>
      </x:c>
      <x:c r="C11" s="27" t="str">
        <x:v>운영 반영 및 점검</x:v>
      </x:c>
      <x:c r="D11" s="27" t="str">
        <x:v>운영/일부 리더</x:v>
      </x:c>
      <x:c r="E11" s="27" t="str">
        <x:v>Restricted</x:v>
      </x:c>
      <x:c r="F11" s="27" t="str">
        <x:v>PM</x:v>
      </x:c>
      <x:c r="G11" s="27" t="str">
        <x:v>고객 IT</x:v>
      </x:c>
      <x:c r="H11" s="27" t="str"/>
      <x:c r="I11" s="27" t="str">
        <x:v>미시작</x:v>
      </x:c>
      <x:c r="J11" s="27" t="str">
        <x:v>N</x:v>
      </x:c>
      <x:c r="K11" s="27" t="str"/>
      <x:c r="L11" s="27" t="str">
        <x:v>보안 승인 필요</x:v>
      </x:c>
    </x:row>
    <x:row r="12">
      <x:c r="A12" s="27" t="str">
        <x:v>접속</x:v>
      </x:c>
      <x:c r="B12" s="27" t="str">
        <x:v>VPN/VDI/내부망</x:v>
      </x:c>
      <x:c r="C12" s="27" t="str">
        <x:v>고객사 시스템 접속</x:v>
      </x:c>
      <x:c r="D12" s="27" t="str">
        <x:v>필요 인력</x:v>
      </x:c>
      <x:c r="E12" s="27" t="str">
        <x:v>User</x:v>
      </x:c>
      <x:c r="F12" s="27" t="str">
        <x:v>PM</x:v>
      </x:c>
      <x:c r="G12" s="27" t="str">
        <x:v>고객 IT/보안</x:v>
      </x:c>
      <x:c r="H12" s="27" t="str"/>
      <x:c r="I12" s="27" t="str">
        <x:v>미시작</x:v>
      </x:c>
      <x:c r="J12" s="27" t="str">
        <x:v>Y</x:v>
      </x:c>
      <x:c r="K12" s="27" t="str"/>
      <x:c r="L12" s="27" t="str"/>
    </x:row>
    <x:row r="13">
      <x:c r="A13" s="27" t="str">
        <x:v>보안</x:v>
      </x:c>
      <x:c r="B13" s="27" t="str">
        <x:v>보안교육/서약</x:v>
      </x:c>
      <x:c r="C13" s="27" t="str">
        <x:v>프로젝트 보안 준수</x:v>
      </x:c>
      <x:c r="D13" s="27" t="str">
        <x:v>전체 팀</x:v>
      </x:c>
      <x:c r="E13" s="27" t="str">
        <x:v>N/A</x:v>
      </x:c>
      <x:c r="F13" s="27" t="str">
        <x:v>보안담당</x:v>
      </x:c>
      <x:c r="G13" s="27" t="str">
        <x:v>PM/고객 보안</x:v>
      </x:c>
      <x:c r="H13" s="27" t="str"/>
      <x:c r="I13" s="27" t="str">
        <x:v>미시작</x:v>
      </x:c>
      <x:c r="J13" s="27" t="str">
        <x:v>Y</x:v>
      </x:c>
      <x:c r="K13" s="27" t="str"/>
      <x:c r="L13" s="27" t="str">
        <x:v>18장 반영</x:v>
      </x:c>
    </x:row>
  </x:sheetData>
  <x:mergeCells>
    <x:mergeCell ref="A1:L1"/>
    <x:mergeCell ref="A2:L2"/>
  </x:mergeCells>
  <x:dataValidations count="2">
    <x:dataValidation type="list" sqref="I5:I80">
      <x:formula1>"미시작,진행중,완료,지연,미완료,예외승인,해당없음"</x:formula1>
    </x:dataValidation>
    <x:dataValidation type="list" sqref="J5:J8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8652921e5f41d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5" hidden="0" customWidth="1"/>
    <x:col min="4" max="4" width="12" hidden="0" customWidth="1"/>
    <x:col min="5" max="5" width="14" hidden="0" customWidth="1"/>
    <x:col min="6" max="6" width="20" hidden="0" customWidth="1"/>
    <x:col min="7" max="7" width="24" hidden="0" customWidth="1"/>
    <x:col min="8" max="8" width="12" hidden="0" customWidth="1"/>
  </x:cols>
  <x:sheetData>
    <x:row r="1" ht="28" customHeight="1">
      <x:c r="A1" s="42" t="str">
        <x:v>프로젝트 수행방식 합의 &amp; DoR/DoD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Hybrid 수행을 위한 팀 운영 규칙입니다. Agile 용어는 유지하고, 사업수행계획서의 추진절차·품질관리·변경관리에 연결합니다.</x:v>
      </x:c>
    </x:row>
    <x:row r="4" ht="22" customHeight="1">
      <x:c r="A4" s="34" t="str">
        <x:v>1) Working Agreement</x:v>
      </x:c>
      <x:c r="B4" s="34"/>
      <x:c r="C4" s="34"/>
      <x:c r="D4" s="34"/>
      <x:c r="E4" s="34"/>
      <x:c r="F4" s="34"/>
      <x:c r="G4" s="34"/>
      <x:c r="H4" s="34"/>
    </x:row>
    <x:row r="5">
      <x:c r="A5" s="20" t="str">
        <x:v>항목</x:v>
      </x:c>
      <x:c r="B5" s="20" t="str">
        <x:v>합의 내용</x:v>
      </x:c>
      <x:c r="C5" s="20" t="str">
        <x:v>사업수행계획서 반영</x:v>
      </x:c>
      <x:c r="D5" s="20" t="str">
        <x:v>Owner</x:v>
      </x:c>
      <x:c r="E5" s="20" t="str">
        <x:v>상태</x:v>
      </x:c>
      <x:c r="F5" s="20" t="str">
        <x:v>Day1 필수</x:v>
      </x:c>
      <x:c r="G5" s="20" t="str">
        <x:v>비고</x:v>
      </x:c>
    </x:row>
    <x:row r="6">
      <x:c r="A6" s="27" t="str">
        <x:v>수행 방식</x:v>
      </x:c>
      <x:c r="B6" s="27" t="str">
        <x:v>AXD 표준 방법론 + Agile/Hybrid 수행</x:v>
      </x:c>
      <x:c r="C6" s="27" t="str">
        <x:v>6. 사업 추진 절차</x:v>
      </x:c>
      <x:c r="D6" s="27" t="str">
        <x:v>PM/QA</x:v>
      </x:c>
      <x:c r="E6" s="27" t="str">
        <x:v>미시작</x:v>
      </x:c>
      <x:c r="F6" s="27" t="str">
        <x:v>Y</x:v>
      </x:c>
      <x:c r="G6" s="27" t="str"/>
    </x:row>
    <x:row r="7">
      <x:c r="A7" s="27" t="str">
        <x:v>Sprint 주기</x:v>
      </x:c>
      <x:c r="B7" s="27" t="str">
        <x:v>예: 2주</x:v>
      </x:c>
      <x:c r="C7" s="27" t="str">
        <x:v>8. 일정 계획</x:v>
      </x:c>
      <x:c r="D7" s="27" t="str">
        <x:v>Scrum Master</x:v>
      </x:c>
      <x:c r="E7" s="27" t="str">
        <x:v>미시작</x:v>
      </x:c>
      <x:c r="F7" s="27" t="str">
        <x:v>Y</x:v>
      </x:c>
      <x:c r="G7" s="27" t="str"/>
    </x:row>
    <x:row r="8">
      <x:c r="A8" s="27" t="str">
        <x:v>Backlog 관리</x:v>
      </x:c>
      <x:c r="B8" s="27" t="str">
        <x:v>이슈관리 도구에서 단일 관리</x:v>
      </x:c>
      <x:c r="C8" s="27" t="str">
        <x:v>6/10/13장</x:v>
      </x:c>
      <x:c r="D8" s="27" t="str">
        <x:v>PO/Scrum Master</x:v>
      </x:c>
      <x:c r="E8" s="27" t="str">
        <x:v>미시작</x:v>
      </x:c>
      <x:c r="F8" s="27" t="str">
        <x:v>Y</x:v>
      </x:c>
      <x:c r="G8" s="27" t="str"/>
    </x:row>
    <x:row r="9">
      <x:c r="A9" s="27" t="str">
        <x:v>Daily Stand-up</x:v>
      </x:c>
      <x:c r="B9" s="27" t="str">
        <x:v>매일 15분 이내, 장애요인 중심</x:v>
      </x:c>
      <x:c r="C9" s="27" t="str">
        <x:v>13. 의사소통관리 계획</x:v>
      </x:c>
      <x:c r="D9" s="27" t="str">
        <x:v>Scrum Master</x:v>
      </x:c>
      <x:c r="E9" s="27" t="str">
        <x:v>미시작</x:v>
      </x:c>
      <x:c r="F9" s="27" t="str">
        <x:v>N</x:v>
      </x:c>
      <x:c r="G9" s="27" t="str">
        <x:v>프로젝트 규모별 조정</x:v>
      </x:c>
    </x:row>
    <x:row r="10">
      <x:c r="A10" s="27" t="str">
        <x:v>Sprint Review</x:v>
      </x:c>
      <x:c r="B10" s="27" t="str">
        <x:v>Sprint 산출물/Increment 검토</x:v>
      </x:c>
      <x:c r="C10" s="27" t="str">
        <x:v>11. 품질관리 계획</x:v>
      </x:c>
      <x:c r="D10" s="27" t="str">
        <x:v>PO/Scrum Master</x:v>
      </x:c>
      <x:c r="E10" s="27" t="str">
        <x:v>미시작</x:v>
      </x:c>
      <x:c r="F10" s="27" t="str">
        <x:v>N</x:v>
      </x:c>
      <x:c r="G10" s="27" t="str"/>
    </x:row>
    <x:row r="11">
      <x:c r="A11" s="27" t="str">
        <x:v>변경요청</x:v>
      </x:c>
      <x:c r="B11" s="27" t="str">
        <x:v>CR 절차와 Backlog 변경 이력을 함께 관리</x:v>
      </x:c>
      <x:c r="C11" s="27" t="str">
        <x:v>10. 변경관리 계획</x:v>
      </x:c>
      <x:c r="D11" s="27" t="str">
        <x:v>PM</x:v>
      </x:c>
      <x:c r="E11" s="27" t="str">
        <x:v>미시작</x:v>
      </x:c>
      <x:c r="F11" s="27" t="str">
        <x:v>Y</x:v>
      </x:c>
      <x:c r="G11" s="27" t="str"/>
    </x:row>
    <x:row r="12">
      <x:c r="A12" s="27" t="str">
        <x:v>결함관리</x:v>
      </x:c>
      <x:c r="B12" s="27" t="str">
        <x:v>Severity 기준, 담당자, 목표 조치일 지정</x:v>
      </x:c>
      <x:c r="C12" s="27" t="str">
        <x:v>11. 품질관리 계획</x:v>
      </x:c>
      <x:c r="D12" s="27" t="str">
        <x:v>QA</x:v>
      </x:c>
      <x:c r="E12" s="27" t="str">
        <x:v>미시작</x:v>
      </x:c>
      <x:c r="F12" s="27" t="str">
        <x:v>Y</x:v>
      </x:c>
      <x:c r="G12" s="27" t="str"/>
    </x:row>
    <x:row r="15" ht="22" customHeight="1">
      <x:c r="A15" s="34" t="str">
        <x:v>2) Definition of Ready / Definition of Done</x:v>
      </x:c>
      <x:c r="B15" s="34"/>
      <x:c r="C15" s="34"/>
      <x:c r="D15" s="34"/>
      <x:c r="E15" s="34"/>
      <x:c r="F15" s="34"/>
      <x:c r="G15" s="34"/>
      <x:c r="H15" s="34"/>
    </x:row>
    <x:row r="16">
      <x:c r="A16" s="20" t="str">
        <x:v>구분</x:v>
      </x:c>
      <x:c r="B16" s="20" t="str">
        <x:v>기준 항목</x:v>
      </x:c>
      <x:c r="C16" s="20" t="str">
        <x:v>기준 내용</x:v>
      </x:c>
      <x:c r="D16" s="20" t="str">
        <x:v>필수 여부</x:v>
      </x:c>
      <x:c r="E16" s="20" t="str">
        <x:v>상태</x:v>
      </x:c>
      <x:c r="F16" s="20" t="str">
        <x:v>Owner</x:v>
      </x:c>
      <x:c r="G16" s="20" t="str">
        <x:v>비고</x:v>
      </x:c>
    </x:row>
    <x:row r="17">
      <x:c r="A17" s="27" t="str">
        <x:v>DoR</x:v>
      </x:c>
      <x:c r="B17" s="27" t="str">
        <x:v>요구사항</x:v>
      </x:c>
      <x:c r="C17" s="27" t="str">
        <x:v>비즈니스 목적과 수행 내용이 설명되어 있다</x:v>
      </x:c>
      <x:c r="D17" s="27" t="str">
        <x:v>Y</x:v>
      </x:c>
      <x:c r="E17" s="27" t="str">
        <x:v>미시작</x:v>
      </x:c>
      <x:c r="F17" s="27" t="str">
        <x:v>PO/BA</x:v>
      </x:c>
      <x:c r="G17" s="27" t="str"/>
    </x:row>
    <x:row r="18">
      <x:c r="A18" s="27" t="str">
        <x:v>DoR</x:v>
      </x:c>
      <x:c r="B18" s="27" t="str">
        <x:v>Acceptance Criteria</x:v>
      </x:c>
      <x:c r="C18" s="27" t="str">
        <x:v>User Story 또는 Task별 Acceptance Criteria가 작성되어 있다</x:v>
      </x:c>
      <x:c r="D18" s="27" t="str">
        <x:v>Y</x:v>
      </x:c>
      <x:c r="E18" s="27" t="str">
        <x:v>미시작</x:v>
      </x:c>
      <x:c r="F18" s="27" t="str">
        <x:v>PO/BA</x:v>
      </x:c>
      <x:c r="G18" s="27" t="str"/>
    </x:row>
    <x:row r="19">
      <x:c r="A19" s="27" t="str">
        <x:v>DoR</x:v>
      </x:c>
      <x:c r="B19" s="27" t="str">
        <x:v>우선순위</x:v>
      </x:c>
      <x:c r="C19" s="27" t="str">
        <x:v>PO가 우선순위를 부여했다</x:v>
      </x:c>
      <x:c r="D19" s="27" t="str">
        <x:v>Y</x:v>
      </x:c>
      <x:c r="E19" s="27" t="str">
        <x:v>미시작</x:v>
      </x:c>
      <x:c r="F19" s="27" t="str">
        <x:v>PO</x:v>
      </x:c>
      <x:c r="G19" s="27" t="str"/>
    </x:row>
    <x:row r="20">
      <x:c r="A20" s="27" t="str">
        <x:v>DoR</x:v>
      </x:c>
      <x:c r="B20" s="27" t="str">
        <x:v>의존성</x:v>
      </x:c>
      <x:c r="C20" s="27" t="str">
        <x:v>외부 시스템, 데이터, 승인 의존성이 식별되었다</x:v>
      </x:c>
      <x:c r="D20" s="27" t="str">
        <x:v>Y</x:v>
      </x:c>
      <x:c r="E20" s="27" t="str">
        <x:v>미시작</x:v>
      </x:c>
      <x:c r="F20" s="27" t="str">
        <x:v>Architect/PM</x:v>
      </x:c>
      <x:c r="G20" s="27" t="str"/>
    </x:row>
    <x:row r="21">
      <x:c r="A21" s="27" t="str">
        <x:v>DoR</x:v>
      </x:c>
      <x:c r="B21" s="27" t="str">
        <x:v>환경/권한</x:v>
      </x:c>
      <x:c r="C21" s="27" t="str">
        <x:v>필요한 환경과 접근권한이 준비되었거나 완료일이 확정되었다</x:v>
      </x:c>
      <x:c r="D21" s="27" t="str">
        <x:v>Y</x:v>
      </x:c>
      <x:c r="E21" s="27" t="str">
        <x:v>미시작</x:v>
      </x:c>
      <x:c r="F21" s="27" t="str">
        <x:v>Architect</x:v>
      </x:c>
      <x:c r="G21" s="27" t="str"/>
    </x:row>
    <x:row r="22">
      <x:c r="A22" s="27" t="str">
        <x:v>DoD</x:v>
      </x:c>
      <x:c r="B22" s="27" t="str">
        <x:v>기능/작업 완료</x:v>
      </x:c>
      <x:c r="C22" s="27" t="str">
        <x:v>Acceptance Criteria를 모두 만족한다</x:v>
      </x:c>
      <x:c r="D22" s="27" t="str">
        <x:v>Y</x:v>
      </x:c>
      <x:c r="E22" s="27" t="str">
        <x:v>미시작</x:v>
      </x:c>
      <x:c r="F22" s="27" t="str">
        <x:v>담당자</x:v>
      </x:c>
      <x:c r="G22" s="27" t="str"/>
    </x:row>
    <x:row r="23">
      <x:c r="A23" s="27" t="str">
        <x:v>DoD</x:v>
      </x:c>
      <x:c r="B23" s="27" t="str">
        <x:v>리뷰</x:v>
      </x:c>
      <x:c r="C23" s="27" t="str">
        <x:v>코드/설정/산출물 리뷰가 완료되었다</x:v>
      </x:c>
      <x:c r="D23" s="27" t="str">
        <x:v>Y</x:v>
      </x:c>
      <x:c r="E23" s="27" t="str">
        <x:v>미시작</x:v>
      </x:c>
      <x:c r="F23" s="27" t="str">
        <x:v>PL/QA</x:v>
      </x:c>
      <x:c r="G23" s="27" t="str"/>
    </x:row>
    <x:row r="24">
      <x:c r="A24" s="27" t="str">
        <x:v>DoD</x:v>
      </x:c>
      <x:c r="B24" s="27" t="str">
        <x:v>테스트</x:v>
      </x:c>
      <x:c r="C24" s="27" t="str">
        <x:v>필요한 단위/통합 테스트가 통과했다</x:v>
      </x:c>
      <x:c r="D24" s="27" t="str">
        <x:v>Y</x:v>
      </x:c>
      <x:c r="E24" s="27" t="str">
        <x:v>미시작</x:v>
      </x:c>
      <x:c r="F24" s="27" t="str">
        <x:v>QA/담당자</x:v>
      </x:c>
      <x:c r="G24" s="27" t="str"/>
    </x:row>
    <x:row r="25">
      <x:c r="A25" s="27" t="str">
        <x:v>DoD</x:v>
      </x:c>
      <x:c r="B25" s="27" t="str">
        <x:v>보안</x:v>
      </x:c>
      <x:c r="C25" s="27" t="str">
        <x:v>보안 기준 위반 사항이 없거나 예외승인이 있다</x:v>
      </x:c>
      <x:c r="D25" s="27" t="str">
        <x:v>Y</x:v>
      </x:c>
      <x:c r="E25" s="27" t="str">
        <x:v>미시작</x:v>
      </x:c>
      <x:c r="F25" s="27" t="str">
        <x:v>보안담당</x:v>
      </x:c>
      <x:c r="G25" s="27" t="str"/>
    </x:row>
    <x:row r="26">
      <x:c r="A26" s="27" t="str">
        <x:v>DoD</x:v>
      </x:c>
      <x:c r="B26" s="27" t="str">
        <x:v>문서화</x:v>
      </x:c>
      <x:c r="C26" s="27" t="str">
        <x:v>설계/운영/변경사항이 문서화되었다</x:v>
      </x:c>
      <x:c r="D26" s="27" t="str">
        <x:v>N</x:v>
      </x:c>
      <x:c r="E26" s="27" t="str">
        <x:v>미시작</x:v>
      </x:c>
      <x:c r="F26" s="27" t="str">
        <x:v>담당자</x:v>
      </x:c>
      <x:c r="G26" s="27" t="str"/>
    </x:row>
    <x:row r="27">
      <x:c r="A27" s="27" t="str">
        <x:v>DoD</x:v>
      </x:c>
      <x:c r="B27" s="27" t="str">
        <x:v>고객 확인</x:v>
      </x:c>
      <x:c r="C27" s="27" t="str">
        <x:v>PO 또는 승인자가 결과를 확인했다</x:v>
      </x:c>
      <x:c r="D27" s="27" t="str">
        <x:v>Y</x:v>
      </x:c>
      <x:c r="E27" s="27" t="str">
        <x:v>미시작</x:v>
      </x:c>
      <x:c r="F27" s="27" t="str">
        <x:v>PO/고객 PM</x:v>
      </x:c>
      <x:c r="G27" s="27" t="str"/>
    </x:row>
  </x:sheetData>
  <x:mergeCells>
    <x:mergeCell ref="A1:H1"/>
    <x:mergeCell ref="A2:H2"/>
    <x:mergeCell ref="A4:H4"/>
    <x:mergeCell ref="A15:H15"/>
  </x:mergeCells>
  <x:dataValidations count="3">
    <x:dataValidation type="list" sqref="E6:E12">
      <x:formula1>"미시작,진행중,완료,지연,미완료,예외승인,해당없음"</x:formula1>
    </x:dataValidation>
    <x:dataValidation type="list" sqref="D17:D27">
      <x:formula1>"Y,N"</x:formula1>
    </x:dataValidation>
    <x:dataValidation type="list" sqref="E17:E27">
      <x:formula1>"미시작,진행중,완료,지연,미완료,예외승인,해당없음"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6816d92fbfe4f06"/>
    <x:tablePart xmlns:r="http://schemas.openxmlformats.org/officeDocument/2006/relationships" r:id="Rbb0a0e8f39184aa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18" hidden="0" customWidth="1"/>
  </x:cols>
  <x:sheetData>
    <x:row r="1" ht="28" customHeight="1">
      <x:c r="A1" s="42" t="str">
        <x:v>고객 준비도·보안성 점검 / RAID / Decision Log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Sprint 0에서 발견한 착수 리스크와 고객 조치 필요사항을 Day 1까지 추적합니다.</x:v>
      </x:c>
    </x:row>
    <x:row r="4" ht="22" customHeight="1">
      <x:c r="A4" s="34" t="str">
        <x:v>1) 고객 준비도 및 보안성 점검</x:v>
      </x:c>
      <x:c r="B4" s="34"/>
      <x:c r="C4" s="34"/>
      <x:c r="D4" s="34"/>
      <x:c r="E4" s="34"/>
      <x:c r="F4" s="34"/>
      <x:c r="G4" s="34"/>
      <x:c r="H4" s="34"/>
      <x:c r="I4" s="34"/>
      <x:c r="J4" s="34"/>
      <x:c r="K4" s="34"/>
    </x:row>
    <x:row r="5">
      <x:c r="A5" s="20" t="str">
        <x:v>영역</x:v>
      </x:c>
      <x:c r="B5" s="20" t="str">
        <x:v>점검 항목</x:v>
      </x:c>
      <x:c r="C5" s="20" t="str">
        <x:v>Day1 필수</x:v>
      </x:c>
      <x:c r="D5" s="20" t="str">
        <x:v>상태</x:v>
      </x:c>
      <x:c r="E5" s="20" t="str">
        <x:v>Owner</x:v>
      </x:c>
      <x:c r="F5" s="20" t="str">
        <x:v>Due Date</x:v>
      </x:c>
      <x:c r="G5" s="20" t="str">
        <x:v>Risk 전환</x:v>
      </x:c>
      <x:c r="H5" s="20" t="str">
        <x:v>관련 Chapter</x:v>
      </x:c>
      <x:c r="I5" s="20" t="str">
        <x:v>Evidence/근거</x:v>
      </x:c>
      <x:c r="J5" s="20" t="str">
        <x:v>비고</x:v>
      </x:c>
    </x:row>
    <x:row r="6">
      <x:c r="A6" s="27" t="str">
        <x:v>조직</x:v>
      </x:c>
      <x:c r="B6" s="27" t="str">
        <x:v>고객 PM 지정</x:v>
      </x:c>
      <x:c r="C6" s="27" t="str">
        <x:v>Y</x:v>
      </x:c>
      <x:c r="D6" s="27" t="str">
        <x:v>미시작</x:v>
      </x:c>
      <x:c r="E6" s="27" t="str">
        <x:v>고객 PMO</x:v>
      </x:c>
      <x:c r="F6" s="27" t="str"/>
      <x:c r="G6" s="27" t="str">
        <x:v>N</x:v>
      </x:c>
      <x:c r="H6" s="27" t="str">
        <x:v>5. 사업 추진 체계</x:v>
      </x:c>
      <x:c r="I6" s="27" t="str"/>
      <x:c r="J6" s="27" t="str"/>
    </x:row>
    <x:row r="7">
      <x:c r="A7" s="27" t="str">
        <x:v>조직</x:v>
      </x:c>
      <x:c r="B7" s="27" t="str">
        <x:v>Product Owner/업무 책임자 지정</x:v>
      </x:c>
      <x:c r="C7" s="27" t="str">
        <x:v>Y</x:v>
      </x:c>
      <x:c r="D7" s="27" t="str">
        <x:v>미시작</x:v>
      </x:c>
      <x:c r="E7" s="27" t="str">
        <x:v>고객 PM</x:v>
      </x:c>
      <x:c r="F7" s="27" t="str"/>
      <x:c r="G7" s="27" t="str">
        <x:v>N</x:v>
      </x:c>
      <x:c r="H7" s="27" t="str">
        <x:v>5. 사업 추진 체계</x:v>
      </x:c>
      <x:c r="I7" s="27" t="str"/>
      <x:c r="J7" s="27" t="str"/>
    </x:row>
    <x:row r="8">
      <x:c r="A8" s="27" t="str">
        <x:v>조직</x:v>
      </x:c>
      <x:c r="B8" s="27" t="str">
        <x:v>산출물 승인자 지정</x:v>
      </x:c>
      <x:c r="C8" s="27" t="str">
        <x:v>Y</x:v>
      </x:c>
      <x:c r="D8" s="27" t="str">
        <x:v>미시작</x:v>
      </x:c>
      <x:c r="E8" s="27" t="str">
        <x:v>고객 PM</x:v>
      </x:c>
      <x:c r="F8" s="27" t="str"/>
      <x:c r="G8" s="27" t="str">
        <x:v>N</x:v>
      </x:c>
      <x:c r="H8" s="27" t="str">
        <x:v>7. 산출물 계획</x:v>
      </x:c>
      <x:c r="I8" s="27" t="str"/>
      <x:c r="J8" s="27" t="str"/>
    </x:row>
    <x:row r="9">
      <x:c r="A9" s="27" t="str">
        <x:v>환경</x:v>
      </x:c>
      <x:c r="B9" s="27" t="str">
        <x:v>개발 환경 준비</x:v>
      </x:c>
      <x:c r="C9" s="27" t="str">
        <x:v>Y</x:v>
      </x:c>
      <x:c r="D9" s="27" t="str">
        <x:v>미시작</x:v>
      </x:c>
      <x:c r="E9" s="27" t="str">
        <x:v>고객 IT</x:v>
      </x:c>
      <x:c r="F9" s="27" t="str"/>
      <x:c r="G9" s="27" t="str">
        <x:v>Y</x:v>
      </x:c>
      <x:c r="H9" s="27" t="str">
        <x:v>8. 일정 계획</x:v>
      </x:c>
      <x:c r="I9" s="27" t="str"/>
      <x:c r="J9" s="27" t="str"/>
    </x:row>
    <x:row r="10">
      <x:c r="A10" s="27" t="str">
        <x:v>권한</x:v>
      </x:c>
      <x:c r="B10" s="27" t="str">
        <x:v>필수 계정/접근권한 준비</x:v>
      </x:c>
      <x:c r="C10" s="27" t="str">
        <x:v>Y</x:v>
      </x:c>
      <x:c r="D10" s="27" t="str">
        <x:v>미시작</x:v>
      </x:c>
      <x:c r="E10" s="27" t="str">
        <x:v>고객 IT/보안</x:v>
      </x:c>
      <x:c r="F10" s="27" t="str"/>
      <x:c r="G10" s="27" t="str">
        <x:v>Y</x:v>
      </x:c>
      <x:c r="H10" s="27" t="str">
        <x:v>18. 보안 대책</x:v>
      </x:c>
      <x:c r="I10" s="27" t="str"/>
      <x:c r="J10" s="27" t="str"/>
    </x:row>
    <x:row r="11">
      <x:c r="A11" s="27" t="str">
        <x:v>보안</x:v>
      </x:c>
      <x:c r="B11" s="27" t="str">
        <x:v>보안교육/보안서약 완료</x:v>
      </x:c>
      <x:c r="C11" s="27" t="str">
        <x:v>Y</x:v>
      </x:c>
      <x:c r="D11" s="27" t="str">
        <x:v>미시작</x:v>
      </x:c>
      <x:c r="E11" s="27" t="str">
        <x:v>보안담당</x:v>
      </x:c>
      <x:c r="F11" s="27" t="str"/>
      <x:c r="G11" s="27" t="str">
        <x:v>Y</x:v>
      </x:c>
      <x:c r="H11" s="27" t="str">
        <x:v>18. 보안 대책</x:v>
      </x:c>
      <x:c r="I11" s="27" t="str"/>
      <x:c r="J11" s="27" t="str"/>
    </x:row>
    <x:row r="12">
      <x:c r="A12" s="27" t="str">
        <x:v>데이터</x:v>
      </x:c>
      <x:c r="B12" s="27" t="str">
        <x:v>샘플 데이터 제공 일정 확정</x:v>
      </x:c>
      <x:c r="C12" s="27" t="str">
        <x:v>N</x:v>
      </x:c>
      <x:c r="D12" s="27" t="str">
        <x:v>미시작</x:v>
      </x:c>
      <x:c r="E12" s="27" t="str">
        <x:v>데이터 담당</x:v>
      </x:c>
      <x:c r="F12" s="27" t="str"/>
      <x:c r="G12" s="27" t="str">
        <x:v>Y</x:v>
      </x:c>
      <x:c r="H12" s="27" t="str">
        <x:v>4. 사업 범위</x:v>
      </x:c>
      <x:c r="I12" s="27" t="str"/>
      <x:c r="J12" s="27" t="str"/>
    </x:row>
    <x:row r="13">
      <x:c r="A13" s="27" t="str">
        <x:v>의사결정</x:v>
      </x:c>
      <x:c r="B13" s="27" t="str">
        <x:v>Escalation 경로 확정</x:v>
      </x:c>
      <x:c r="C13" s="27" t="str">
        <x:v>Y</x:v>
      </x:c>
      <x:c r="D13" s="27" t="str">
        <x:v>미시작</x:v>
      </x:c>
      <x:c r="E13" s="27" t="str">
        <x:v>PM/고객 PM</x:v>
      </x:c>
      <x:c r="F13" s="27" t="str"/>
      <x:c r="G13" s="27" t="str">
        <x:v>N</x:v>
      </x:c>
      <x:c r="H13" s="27" t="str">
        <x:v>13. 의사소통관리 계획</x:v>
      </x:c>
      <x:c r="I13" s="27" t="str"/>
      <x:c r="J13" s="27" t="str"/>
    </x:row>
    <x:row r="16" ht="22" customHeight="1">
      <x:c r="A16" s="34" t="str">
        <x:v>2) RAID Log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</x:row>
    <x:row r="17">
      <x:c r="A17" s="20" t="str">
        <x:v>ID</x:v>
      </x:c>
      <x:c r="B17" s="20" t="str">
        <x:v>유형</x:v>
      </x:c>
      <x:c r="C17" s="20" t="str">
        <x:v>내용</x:v>
      </x:c>
      <x:c r="D17" s="20" t="str">
        <x:v>영향도</x:v>
      </x:c>
      <x:c r="E17" s="20" t="str">
        <x:v>가능성</x:v>
      </x:c>
      <x:c r="F17" s="20" t="str">
        <x:v>등급</x:v>
      </x:c>
      <x:c r="G17" s="20" t="str">
        <x:v>Owner</x:v>
      </x:c>
      <x:c r="H17" s="20" t="str">
        <x:v>대응계획</x:v>
      </x:c>
      <x:c r="I17" s="20" t="str">
        <x:v>Due Date</x:v>
      </x:c>
      <x:c r="J17" s="20" t="str">
        <x:v>상태</x:v>
      </x:c>
      <x:c r="K17" s="20" t="str">
        <x:v>관련 Chapter</x:v>
      </x:c>
    </x:row>
    <x:row r="18">
      <x:c r="A18" s="27" t="str">
        <x:v>R-001</x:v>
      </x:c>
      <x:c r="B18" s="27" t="str">
        <x:v>Risk</x:v>
      </x:c>
      <x:c r="C18" s="27" t="str">
        <x:v>개발 환경 준비 지연 가능성</x:v>
      </x:c>
      <x:c r="D18" s="27" t="str">
        <x:v>상</x:v>
      </x:c>
      <x:c r="E18" s="27" t="str">
        <x:v>중</x:v>
      </x:c>
      <x:c r="F18" s="27" t="str">
        <x:f>IF(OR(D18="",E18=""),"",IF(OR(D18="상",E18="상"),"1등급",IF(AND(D18="중",E18="중"),"2등급","3등급")))</x:f>
        <x:v>1등급</x:v>
      </x:c>
      <x:c r="G18" s="27" t="str">
        <x:v>고객 IT</x:v>
      </x:c>
      <x:c r="H18" s="27" t="str">
        <x:v>임시 환경 사용 또는 선행 작업 조정</x:v>
      </x:c>
      <x:c r="I18" s="27" t="str"/>
      <x:c r="J18" s="27" t="str">
        <x:v>미시작</x:v>
      </x:c>
      <x:c r="K18" s="27" t="str">
        <x:v>8/14장</x:v>
      </x:c>
    </x:row>
    <x:row r="19">
      <x:c r="A19" s="27" t="str">
        <x:v>R-002</x:v>
      </x:c>
      <x:c r="B19" s="27" t="str">
        <x:v>Risk</x:v>
      </x:c>
      <x:c r="C19" s="27" t="str">
        <x:v>필수 접근권한 발급 지연 가능성</x:v>
      </x:c>
      <x:c r="D19" s="27" t="str">
        <x:v>상</x:v>
      </x:c>
      <x:c r="E19" s="27" t="str">
        <x:v>중</x:v>
      </x:c>
      <x:c r="F19" s="27" t="str">
        <x:f>IF(OR(D19="",E19=""),"",IF(OR(D19="상",E19="상"),"1등급",IF(AND(D19="중",E19="중"),"2등급","3등급")))</x:f>
        <x:v>1등급</x:v>
      </x:c>
      <x:c r="G19" s="27" t="str">
        <x:v>고객 IT/보안</x:v>
      </x:c>
      <x:c r="H19" s="27" t="str">
        <x:v>권한 요청 목록 사전 제출 및 승인 일정 확정</x:v>
      </x:c>
      <x:c r="I19" s="27" t="str"/>
      <x:c r="J19" s="27" t="str">
        <x:v>미시작</x:v>
      </x:c>
      <x:c r="K19" s="27" t="str">
        <x:v>18/14장</x:v>
      </x:c>
    </x:row>
    <x:row r="20">
      <x:c r="A20" s="27" t="str">
        <x:v>D-001</x:v>
      </x:c>
      <x:c r="B20" s="27" t="str">
        <x:v>Decision</x:v>
      </x:c>
      <x:c r="C20" s="27" t="str">
        <x:v>Sprint 주기 및 Sprint 1 목표 확정</x:v>
      </x:c>
      <x:c r="D20" s="27" t="str">
        <x:v>중</x:v>
      </x:c>
      <x:c r="E20" s="27" t="str">
        <x:v>중</x:v>
      </x:c>
      <x:c r="F20" s="27" t="str">
        <x:f>IF(OR(D20="",E20=""),"",IF(OR(D20="상",E20="상"),"1등급",IF(AND(D20="중",E20="중"),"2등급","3등급")))</x:f>
        <x:v>2등급</x:v>
      </x:c>
      <x:c r="G20" s="27" t="str">
        <x:v>PO/PM</x:v>
      </x:c>
      <x:c r="H20" s="27" t="str">
        <x:v>Sprint 0 내 결정</x:v>
      </x:c>
      <x:c r="I20" s="27" t="str"/>
      <x:c r="J20" s="27" t="str">
        <x:v>미시작</x:v>
      </x:c>
      <x:c r="K20" s="27" t="str">
        <x:v>6/8장</x:v>
      </x:c>
    </x:row>
    <x:row r="21">
      <x:c r="F21" t="str">
        <x:f>IF(OR(D21="",E21=""),"",IF(OR(D21="상",E21="상"),"1등급",IF(AND(D21="중",E21="중"),"2등급","3등급")))</x:f>
      </x:c>
    </x:row>
    <x:row r="22">
      <x:c r="F22" t="str">
        <x:f>IF(OR(D22="",E22=""),"",IF(OR(D22="상",E22="상"),"1등급",IF(AND(D22="중",E22="중"),"2등급","3등급")))</x:f>
      </x:c>
    </x:row>
    <x:row r="23" ht="22" customHeight="1">
      <x:c r="A23" s="34" t="str">
        <x:v>3) Decision Log</x:v>
      </x:c>
      <x:c r="B23" s="34"/>
      <x:c r="C23" s="34"/>
      <x:c r="D23" s="34"/>
      <x:c r="E23" s="34"/>
      <x:c r="F23" s="34" t="str">
        <x:f>IF(OR(D23="",E23=""),"",IF(OR(D23="상",E23="상"),"1등급",IF(AND(D23="중",E23="중"),"2등급","3등급")))</x:f>
      </x:c>
      <x:c r="G23" s="34"/>
      <x:c r="H23" s="34"/>
      <x:c r="I23" s="34"/>
      <x:c r="J23" s="34"/>
      <x:c r="K23" s="34"/>
    </x:row>
    <x:row r="24">
      <x:c r="A24" s="20" t="str">
        <x:v>ID</x:v>
      </x:c>
      <x:c r="B24" s="20" t="str">
        <x:v>결정 필요사항</x:v>
      </x:c>
      <x:c r="C24" s="20" t="str">
        <x:v>선택지</x:v>
      </x:c>
      <x:c r="D24" s="20" t="str">
        <x:v>결정자</x:v>
      </x:c>
      <x:c r="E24" s="20" t="str">
        <x:v>결정 필요일</x:v>
      </x:c>
      <x:c r="F24" s="20" t="str">
        <x:v>상태</x:v>
      </x:c>
      <x:c r="G24" s="20" t="str">
        <x:v>결정 내용</x:v>
      </x:c>
      <x:c r="H24" s="20" t="str">
        <x:v>후속조치</x:v>
      </x:c>
      <x:c r="I24" s="20" t="str">
        <x:v>관련 Backlog</x:v>
      </x:c>
      <x:c r="J24" s="20" t="str">
        <x:v>관련 Chapter</x:v>
      </x:c>
    </x:row>
    <x:row r="25">
      <x:c r="A25" s="27" t="str">
        <x:v>DEC-001</x:v>
      </x:c>
      <x:c r="B25" s="27" t="str">
        <x:v>Sprint 1 목표 확정</x:v>
      </x:c>
      <x:c r="C25" s="27" t="str">
        <x:v>A안/B안</x:v>
      </x:c>
      <x:c r="D25" s="27" t="str">
        <x:v>PO/PM</x:v>
      </x:c>
      <x:c r="E25" s="27" t="str"/>
      <x:c r="F25" s="27" t="str">
        <x:v>미시작</x:v>
      </x:c>
      <x:c r="G25" s="27" t="str"/>
      <x:c r="H25" s="27" t="str"/>
      <x:c r="I25" s="27" t="str">
        <x:v>PB-003</x:v>
      </x:c>
      <x:c r="J25" s="27" t="str">
        <x:v>8장</x:v>
      </x:c>
    </x:row>
    <x:row r="26">
      <x:c r="A26" s="27" t="str">
        <x:v>DEC-002</x:v>
      </x:c>
      <x:c r="B26" s="27" t="str">
        <x:v>산출물 승인자 확정</x:v>
      </x:c>
      <x:c r="C26" s="27" t="str">
        <x:v>고객 PM/Sponsor</x:v>
      </x:c>
      <x:c r="D26" s="27" t="str">
        <x:v>고객 PM</x:v>
      </x:c>
      <x:c r="E26" s="27" t="str"/>
      <x:c r="F26" s="27" t="str">
        <x:v>미시작</x:v>
      </x:c>
      <x:c r="G26" s="27" t="str"/>
      <x:c r="H26" s="27" t="str"/>
      <x:c r="I26" s="27" t="str">
        <x:v>PB-001</x:v>
      </x:c>
      <x:c r="J26" s="27" t="str">
        <x:v>7장</x:v>
      </x:c>
    </x:row>
    <x:row r="27">
      <x:c r="F27" t="str">
        <x:f>IF(OR(D27="",E27=""),"",IF(OR(D27="상",E27="상"),"1등급",IF(AND(D27="중",E27="중"),"2등급","3등급")))</x:f>
      </x:c>
    </x:row>
    <x:row r="28">
      <x:c r="F28" t="str">
        <x:f>IF(OR(D28="",E28=""),"",IF(OR(D28="상",E28="상"),"1등급",IF(AND(D28="중",E28="중"),"2등급","3등급")))</x:f>
      </x:c>
    </x:row>
    <x:row r="29">
      <x:c r="F29" t="str">
        <x:f>IF(OR(D29="",E29=""),"",IF(OR(D29="상",E29="상"),"1등급",IF(AND(D29="중",E29="중"),"2등급","3등급")))</x:f>
      </x:c>
    </x:row>
    <x:row r="30">
      <x:c r="F30" t="str">
        <x:f>IF(OR(D30="",E30=""),"",IF(OR(D30="상",E30="상"),"1등급",IF(AND(D30="중",E30="중"),"2등급","3등급")))</x:f>
      </x:c>
    </x:row>
    <x:row r="31">
      <x:c r="F31" t="str">
        <x:f>IF(OR(D31="",E31=""),"",IF(OR(D31="상",E31="상"),"1등급",IF(AND(D31="중",E31="중"),"2등급","3등급")))</x:f>
      </x:c>
    </x:row>
    <x:row r="32">
      <x:c r="F32" t="str">
        <x:f>IF(OR(D32="",E32=""),"",IF(OR(D32="상",E32="상"),"1등급",IF(AND(D32="중",E32="중"),"2등급","3등급")))</x:f>
      </x:c>
    </x:row>
    <x:row r="33">
      <x:c r="F33" t="str">
        <x:f>IF(OR(D33="",E33=""),"",IF(OR(D33="상",E33="상"),"1등급",IF(AND(D33="중",E33="중"),"2등급","3등급")))</x:f>
      </x:c>
    </x:row>
    <x:row r="34">
      <x:c r="F34" t="str">
        <x:f>IF(OR(D34="",E34=""),"",IF(OR(D34="상",E34="상"),"1등급",IF(AND(D34="중",E34="중"),"2등급","3등급")))</x:f>
      </x:c>
    </x:row>
    <x:row r="35">
      <x:c r="F35" t="str">
        <x:f>IF(OR(D35="",E35=""),"",IF(OR(D35="상",E35="상"),"1등급",IF(AND(D35="중",E35="중"),"2등급","3등급")))</x:f>
      </x:c>
    </x:row>
    <x:row r="36">
      <x:c r="F36" t="str">
        <x:f>IF(OR(D36="",E36=""),"",IF(OR(D36="상",E36="상"),"1등급",IF(AND(D36="중",E36="중"),"2등급","3등급")))</x:f>
      </x:c>
    </x:row>
    <x:row r="37">
      <x:c r="F37" t="str">
        <x:f>IF(OR(D37="",E37=""),"",IF(OR(D37="상",E37="상"),"1등급",IF(AND(D37="중",E37="중"),"2등급","3등급")))</x:f>
      </x:c>
    </x:row>
    <x:row r="38">
      <x:c r="F38" t="str">
        <x:f>IF(OR(D38="",E38=""),"",IF(OR(D38="상",E38="상"),"1등급",IF(AND(D38="중",E38="중"),"2등급","3등급")))</x:f>
      </x:c>
    </x:row>
    <x:row r="39">
      <x:c r="F39" t="str">
        <x:f>IF(OR(D39="",E39=""),"",IF(OR(D39="상",E39="상"),"1등급",IF(AND(D39="중",E39="중"),"2등급","3등급")))</x:f>
      </x:c>
    </x:row>
    <x:row r="40">
      <x:c r="F40" t="str">
        <x:f>IF(OR(D40="",E40=""),"",IF(OR(D40="상",E40="상"),"1등급",IF(AND(D40="중",E40="중"),"2등급","3등급")))</x:f>
      </x:c>
    </x:row>
    <x:row r="41">
      <x:c r="F41" t="str">
        <x:f>IF(OR(D41="",E41=""),"",IF(OR(D41="상",E41="상"),"1등급",IF(AND(D41="중",E41="중"),"2등급","3등급")))</x:f>
      </x:c>
    </x:row>
    <x:row r="42">
      <x:c r="F42" t="str">
        <x:f>IF(OR(D42="",E42=""),"",IF(OR(D42="상",E42="상"),"1등급",IF(AND(D42="중",E42="중"),"2등급","3등급")))</x:f>
      </x:c>
    </x:row>
    <x:row r="43">
      <x:c r="F43" t="str">
        <x:f>IF(OR(D43="",E43=""),"",IF(OR(D43="상",E43="상"),"1등급",IF(AND(D43="중",E43="중"),"2등급","3등급")))</x:f>
      </x:c>
    </x:row>
    <x:row r="44">
      <x:c r="F44" t="str">
        <x:f>IF(OR(D44="",E44=""),"",IF(OR(D44="상",E44="상"),"1등급",IF(AND(D44="중",E44="중"),"2등급","3등급")))</x:f>
      </x:c>
    </x:row>
    <x:row r="45">
      <x:c r="F45" t="str">
        <x:f>IF(OR(D45="",E45=""),"",IF(OR(D45="상",E45="상"),"1등급",IF(AND(D45="중",E45="중"),"2등급","3등급")))</x:f>
      </x:c>
    </x:row>
    <x:row r="46">
      <x:c r="F46" t="str">
        <x:f>IF(OR(D46="",E46=""),"",IF(OR(D46="상",E46="상"),"1등급",IF(AND(D46="중",E46="중"),"2등급","3등급")))</x:f>
      </x:c>
    </x:row>
    <x:row r="47">
      <x:c r="F47" t="str">
        <x:f>IF(OR(D47="",E47=""),"",IF(OR(D47="상",E47="상"),"1등급",IF(AND(D47="중",E47="중"),"2등급","3등급")))</x:f>
      </x:c>
    </x:row>
    <x:row r="48">
      <x:c r="F48" t="str">
        <x:f>IF(OR(D48="",E48=""),"",IF(OR(D48="상",E48="상"),"1등급",IF(AND(D48="중",E48="중"),"2등급","3등급")))</x:f>
      </x:c>
    </x:row>
    <x:row r="49">
      <x:c r="F49" t="str">
        <x:f>IF(OR(D49="",E49=""),"",IF(OR(D49="상",E49="상"),"1등급",IF(AND(D49="중",E49="중"),"2등급","3등급")))</x:f>
      </x:c>
    </x:row>
    <x:row r="50">
      <x:c r="F50" t="str">
        <x:f>IF(OR(D50="",E50=""),"",IF(OR(D50="상",E50="상"),"1등급",IF(AND(D50="중",E50="중"),"2등급","3등급")))</x:f>
      </x:c>
    </x:row>
    <x:row r="51">
      <x:c r="F51" t="str">
        <x:f>IF(OR(D51="",E51=""),"",IF(OR(D51="상",E51="상"),"1등급",IF(AND(D51="중",E51="중"),"2등급","3등급")))</x:f>
      </x:c>
    </x:row>
    <x:row r="52">
      <x:c r="F52" t="str">
        <x:f>IF(OR(D52="",E52=""),"",IF(OR(D52="상",E52="상"),"1등급",IF(AND(D52="중",E52="중"),"2등급","3등급")))</x:f>
      </x:c>
    </x:row>
    <x:row r="53">
      <x:c r="F53" t="str">
        <x:f>IF(OR(D53="",E53=""),"",IF(OR(D53="상",E53="상"),"1등급",IF(AND(D53="중",E53="중"),"2등급","3등급")))</x:f>
      </x:c>
    </x:row>
    <x:row r="54">
      <x:c r="F54" t="str">
        <x:f>IF(OR(D54="",E54=""),"",IF(OR(D54="상",E54="상"),"1등급",IF(AND(D54="중",E54="중"),"2등급","3등급")))</x:f>
      </x:c>
    </x:row>
    <x:row r="55">
      <x:c r="F55" t="str">
        <x:f>IF(OR(D55="",E55=""),"",IF(OR(D55="상",E55="상"),"1등급",IF(AND(D55="중",E55="중"),"2등급","3등급")))</x:f>
      </x:c>
    </x:row>
    <x:row r="56">
      <x:c r="F56" t="str">
        <x:f>IF(OR(D56="",E56=""),"",IF(OR(D56="상",E56="상"),"1등급",IF(AND(D56="중",E56="중"),"2등급","3등급")))</x:f>
      </x:c>
    </x:row>
    <x:row r="57">
      <x:c r="F57" t="str">
        <x:f>IF(OR(D57="",E57=""),"",IF(OR(D57="상",E57="상"),"1등급",IF(AND(D57="중",E57="중"),"2등급","3등급")))</x:f>
      </x:c>
    </x:row>
    <x:row r="58">
      <x:c r="F58" t="str">
        <x:f>IF(OR(D58="",E58=""),"",IF(OR(D58="상",E58="상"),"1등급",IF(AND(D58="중",E58="중"),"2등급","3등급")))</x:f>
      </x:c>
    </x:row>
    <x:row r="59">
      <x:c r="F59" t="str">
        <x:f>IF(OR(D59="",E59=""),"",IF(OR(D59="상",E59="상"),"1등급",IF(AND(D59="중",E59="중"),"2등급","3등급")))</x:f>
      </x:c>
    </x:row>
    <x:row r="60">
      <x:c r="F60" t="str">
        <x:f>IF(OR(D60="",E60=""),"",IF(OR(D60="상",E60="상"),"1등급",IF(AND(D60="중",E60="중"),"2등급","3등급")))</x:f>
      </x:c>
    </x:row>
    <x:row r="61">
      <x:c r="F61" t="str">
        <x:f>IF(OR(D61="",E61=""),"",IF(OR(D61="상",E61="상"),"1등급",IF(AND(D61="중",E61="중"),"2등급","3등급")))</x:f>
      </x:c>
    </x:row>
    <x:row r="62">
      <x:c r="F62" t="str">
        <x:f>IF(OR(D62="",E62=""),"",IF(OR(D62="상",E62="상"),"1등급",IF(AND(D62="중",E62="중"),"2등급","3등급")))</x:f>
      </x:c>
    </x:row>
    <x:row r="63">
      <x:c r="F63" t="str">
        <x:f>IF(OR(D63="",E63=""),"",IF(OR(D63="상",E63="상"),"1등급",IF(AND(D63="중",E63="중"),"2등급","3등급")))</x:f>
      </x:c>
    </x:row>
    <x:row r="64">
      <x:c r="F64" t="str">
        <x:f>IF(OR(D64="",E64=""),"",IF(OR(D64="상",E64="상"),"1등급",IF(AND(D64="중",E64="중"),"2등급","3등급")))</x:f>
      </x:c>
    </x:row>
    <x:row r="65">
      <x:c r="F65" t="str">
        <x:f>IF(OR(D65="",E65=""),"",IF(OR(D65="상",E65="상"),"1등급",IF(AND(D65="중",E65="중"),"2등급","3등급")))</x:f>
      </x:c>
    </x:row>
    <x:row r="66">
      <x:c r="F66" t="str">
        <x:f>IF(OR(D66="",E66=""),"",IF(OR(D66="상",E66="상"),"1등급",IF(AND(D66="중",E66="중"),"2등급","3등급")))</x:f>
      </x:c>
    </x:row>
    <x:row r="67">
      <x:c r="F67" t="str">
        <x:f>IF(OR(D67="",E67=""),"",IF(OR(D67="상",E67="상"),"1등급",IF(AND(D67="중",E67="중"),"2등급","3등급")))</x:f>
      </x:c>
    </x:row>
    <x:row r="68">
      <x:c r="F68" t="str">
        <x:f>IF(OR(D68="",E68=""),"",IF(OR(D68="상",E68="상"),"1등급",IF(AND(D68="중",E68="중"),"2등급","3등급")))</x:f>
      </x:c>
    </x:row>
    <x:row r="69">
      <x:c r="F69" t="str">
        <x:f>IF(OR(D69="",E69=""),"",IF(OR(D69="상",E69="상"),"1등급",IF(AND(D69="중",E69="중"),"2등급","3등급")))</x:f>
      </x:c>
    </x:row>
    <x:row r="70">
      <x:c r="F70" t="str">
        <x:f>IF(OR(D70="",E70=""),"",IF(OR(D70="상",E70="상"),"1등급",IF(AND(D70="중",E70="중"),"2등급","3등급")))</x:f>
      </x:c>
    </x:row>
    <x:row r="71">
      <x:c r="F71" t="str">
        <x:f>IF(OR(D71="",E71=""),"",IF(OR(D71="상",E71="상"),"1등급",IF(AND(D71="중",E71="중"),"2등급","3등급")))</x:f>
      </x:c>
    </x:row>
    <x:row r="72">
      <x:c r="F72" t="str">
        <x:f>IF(OR(D72="",E72=""),"",IF(OR(D72="상",E72="상"),"1등급",IF(AND(D72="중",E72="중"),"2등급","3등급")))</x:f>
      </x:c>
    </x:row>
    <x:row r="73">
      <x:c r="F73" t="str">
        <x:f>IF(OR(D73="",E73=""),"",IF(OR(D73="상",E73="상"),"1등급",IF(AND(D73="중",E73="중"),"2등급","3등급")))</x:f>
      </x:c>
    </x:row>
    <x:row r="74">
      <x:c r="F74" t="str">
        <x:f>IF(OR(D74="",E74=""),"",IF(OR(D74="상",E74="상"),"1등급",IF(AND(D74="중",E74="중"),"2등급","3등급")))</x:f>
      </x:c>
    </x:row>
    <x:row r="75">
      <x:c r="F75" t="str">
        <x:f>IF(OR(D75="",E75=""),"",IF(OR(D75="상",E75="상"),"1등급",IF(AND(D75="중",E75="중"),"2등급","3등급")))</x:f>
      </x:c>
    </x:row>
    <x:row r="76">
      <x:c r="F76" t="str">
        <x:f>IF(OR(D76="",E76=""),"",IF(OR(D76="상",E76="상"),"1등급",IF(AND(D76="중",E76="중"),"2등급","3등급")))</x:f>
      </x:c>
    </x:row>
    <x:row r="77">
      <x:c r="F77" t="str">
        <x:f>IF(OR(D77="",E77=""),"",IF(OR(D77="상",E77="상"),"1등급",IF(AND(D77="중",E77="중"),"2등급","3등급")))</x:f>
      </x:c>
    </x:row>
    <x:row r="78">
      <x:c r="F78" t="str">
        <x:f>IF(OR(D78="",E78=""),"",IF(OR(D78="상",E78="상"),"1등급",IF(AND(D78="중",E78="중"),"2등급","3등급")))</x:f>
      </x:c>
    </x:row>
    <x:row r="79">
      <x:c r="F79" t="str">
        <x:f>IF(OR(D79="",E79=""),"",IF(OR(D79="상",E79="상"),"1등급",IF(AND(D79="중",E79="중"),"2등급","3등급")))</x:f>
      </x:c>
    </x:row>
    <x:row r="80">
      <x:c r="F80" t="str">
        <x:f>IF(OR(D80="",E80=""),"",IF(OR(D80="상",E80="상"),"1등급",IF(AND(D80="중",E80="중"),"2등급","3등급")))</x:f>
      </x:c>
    </x:row>
    <x:row r="81">
      <x:c r="F81" t="str">
        <x:f>IF(OR(D81="",E81=""),"",IF(OR(D81="상",E81="상"),"1등급",IF(AND(D81="중",E81="중"),"2등급","3등급")))</x:f>
      </x:c>
    </x:row>
    <x:row r="82">
      <x:c r="F82" t="str">
        <x:f>IF(OR(D82="",E82=""),"",IF(OR(D82="상",E82="상"),"1등급",IF(AND(D82="중",E82="중"),"2등급","3등급")))</x:f>
      </x:c>
    </x:row>
    <x:row r="83">
      <x:c r="F83" t="str">
        <x:f>IF(OR(D83="",E83=""),"",IF(OR(D83="상",E83="상"),"1등급",IF(AND(D83="중",E83="중"),"2등급","3등급")))</x:f>
      </x:c>
    </x:row>
    <x:row r="84">
      <x:c r="F84" t="str">
        <x:f>IF(OR(D84="",E84=""),"",IF(OR(D84="상",E84="상"),"1등급",IF(AND(D84="중",E84="중"),"2등급","3등급")))</x:f>
      </x:c>
    </x:row>
    <x:row r="85">
      <x:c r="F85" t="str">
        <x:f>IF(OR(D85="",E85=""),"",IF(OR(D85="상",E85="상"),"1등급",IF(AND(D85="중",E85="중"),"2등급","3등급")))</x:f>
      </x:c>
    </x:row>
    <x:row r="86">
      <x:c r="F86" t="str">
        <x:f>IF(OR(D86="",E86=""),"",IF(OR(D86="상",E86="상"),"1등급",IF(AND(D86="중",E86="중"),"2등급","3등급")))</x:f>
      </x:c>
    </x:row>
    <x:row r="87">
      <x:c r="F87" t="str">
        <x:f>IF(OR(D87="",E87=""),"",IF(OR(D87="상",E87="상"),"1등급",IF(AND(D87="중",E87="중"),"2등급","3등급")))</x:f>
      </x:c>
    </x:row>
    <x:row r="88">
      <x:c r="F88" t="str">
        <x:f>IF(OR(D88="",E88=""),"",IF(OR(D88="상",E88="상"),"1등급",IF(AND(D88="중",E88="중"),"2등급","3등급")))</x:f>
      </x:c>
    </x:row>
    <x:row r="89">
      <x:c r="F89" t="str">
        <x:f>IF(OR(D89="",E89=""),"",IF(OR(D89="상",E89="상"),"1등급",IF(AND(D89="중",E89="중"),"2등급","3등급")))</x:f>
      </x:c>
    </x:row>
    <x:row r="90">
      <x:c r="F90" t="str">
        <x:f>IF(OR(D90="",E90=""),"",IF(OR(D90="상",E90="상"),"1등급",IF(AND(D90="중",E90="중"),"2등급","3등급")))</x:f>
      </x:c>
    </x:row>
    <x:row r="91">
      <x:c r="F91" t="str">
        <x:f>IF(OR(D91="",E91=""),"",IF(OR(D91="상",E91="상"),"1등급",IF(AND(D91="중",E91="중"),"2등급","3등급")))</x:f>
      </x:c>
    </x:row>
    <x:row r="92">
      <x:c r="F92" t="str">
        <x:f>IF(OR(D92="",E92=""),"",IF(OR(D92="상",E92="상"),"1등급",IF(AND(D92="중",E92="중"),"2등급","3등급")))</x:f>
      </x:c>
    </x:row>
    <x:row r="93">
      <x:c r="F93" t="str">
        <x:f>IF(OR(D93="",E93=""),"",IF(OR(D93="상",E93="상"),"1등급",IF(AND(D93="중",E93="중"),"2등급","3등급")))</x:f>
      </x:c>
    </x:row>
    <x:row r="94">
      <x:c r="F94" t="str">
        <x:f>IF(OR(D94="",E94=""),"",IF(OR(D94="상",E94="상"),"1등급",IF(AND(D94="중",E94="중"),"2등급","3등급")))</x:f>
      </x:c>
    </x:row>
    <x:row r="95">
      <x:c r="F95" t="str">
        <x:f>IF(OR(D95="",E95=""),"",IF(OR(D95="상",E95="상"),"1등급",IF(AND(D95="중",E95="중"),"2등급","3등급")))</x:f>
      </x:c>
    </x:row>
    <x:row r="96">
      <x:c r="F96" t="str">
        <x:f>IF(OR(D96="",E96=""),"",IF(OR(D96="상",E96="상"),"1등급",IF(AND(D96="중",E96="중"),"2등급","3등급")))</x:f>
      </x:c>
    </x:row>
    <x:row r="97">
      <x:c r="F97" t="str">
        <x:f>IF(OR(D97="",E97=""),"",IF(OR(D97="상",E97="상"),"1등급",IF(AND(D97="중",E97="중"),"2등급","3등급")))</x:f>
      </x:c>
    </x:row>
    <x:row r="98">
      <x:c r="F98" t="str">
        <x:f>IF(OR(D98="",E98=""),"",IF(OR(D98="상",E98="상"),"1등급",IF(AND(D98="중",E98="중"),"2등급","3등급")))</x:f>
      </x:c>
    </x:row>
    <x:row r="99">
      <x:c r="F99" t="str">
        <x:f>IF(OR(D99="",E99=""),"",IF(OR(D99="상",E99="상"),"1등급",IF(AND(D99="중",E99="중"),"2등급","3등급")))</x:f>
      </x:c>
    </x:row>
    <x:row r="100">
      <x:c r="F100" t="str">
        <x:f>IF(OR(D100="",E100=""),"",IF(OR(D100="상",E100="상"),"1등급",IF(AND(D100="중",E100="중"),"2등급","3등급")))</x:f>
      </x:c>
    </x:row>
  </x:sheetData>
  <x:mergeCells>
    <x:mergeCell ref="A1:K1"/>
    <x:mergeCell ref="A2:K2"/>
    <x:mergeCell ref="A4:K4"/>
    <x:mergeCell ref="A16:K16"/>
    <x:mergeCell ref="A23:K23"/>
  </x:mergeCells>
  <x:dataValidations count="7">
    <x:dataValidation type="list" sqref="C6:C13">
      <x:formula1>"Y,N"</x:formula1>
    </x:dataValidation>
    <x:dataValidation type="list" sqref="D6:D13">
      <x:formula1>"미시작,진행중,완료,지연,미완료,예외승인,해당없음"</x:formula1>
    </x:dataValidation>
    <x:dataValidation type="list" sqref="G6:G13">
      <x:formula1>"Y,N"</x:formula1>
    </x:dataValidation>
    <x:dataValidation type="list" sqref="B18:B100">
      <x:formula1>"Risk,Assumption,Issue,Dependency,Decision"</x:formula1>
    </x:dataValidation>
    <x:dataValidation type="list" sqref="D18:E100">
      <x:formula1>"상,중,하"</x:formula1>
    </x:dataValidation>
    <x:dataValidation type="list" sqref="J18:J100">
      <x:formula1>"미시작,진행중,완료,지연,미완료,예외승인,해당없음"</x:formula1>
    </x:dataValidation>
    <x:dataValidation type="list" sqref="F25:F100">
      <x:formula1>"미시작,진행중,완료,지연,미완료,예외승인,해당없음"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c16bf90637c54045"/>
    <x:tablePart xmlns:r="http://schemas.openxmlformats.org/officeDocument/2006/relationships" r:id="R7929887d80184af6"/>
    <x:tablePart xmlns:r="http://schemas.openxmlformats.org/officeDocument/2006/relationships" r:id="R46119da8cb61448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4" hidden="0" customWidth="1"/>
    <x:col min="4" max="4" width="18" hidden="0" customWidth="1"/>
    <x:col min="5" max="5" width="12" hidden="0" customWidth="1"/>
    <x:col min="6" max="6" width="20" hidden="0" customWidth="1"/>
    <x:col min="7" max="7" width="14" hidden="0" customWidth="1"/>
    <x:col min="8" max="8" width="24" hidden="0" customWidth="1"/>
    <x:col min="9" max="9" width="28" hidden="0" customWidth="1"/>
    <x:col min="10" max="10" width="16" hidden="0" customWidth="1"/>
    <x:col min="11" max="11" width="24" hidden="0" customWidth="1"/>
  </x:cols>
  <x:sheetData>
    <x:row r="1" ht="28" customHeight="1">
      <x:c r="A1" s="42" t="str">
        <x:v>본수행 착수 점검 / Day 1 Readiness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Sprint 0 결과를 바탕으로 실제 본수행 착수가 가능한지 판단합니다. Go / Conditional Go / No-Go는 내부 운영용으로 유지하되, 보고 시 착수 가능 / 조건부 착수 / 착수 보류를 병기합니다.</x:v>
      </x:c>
    </x:row>
    <x:row r="4">
      <x:c r="A4" s="20" t="str">
        <x:v>요약 항목</x:v>
      </x:c>
      <x:c r="B4" s="20" t="str">
        <x:v>값</x:v>
      </x:c>
    </x:row>
    <x:row r="5">
      <x:c r="A5" s="38" t="str">
        <x:v>No-Go 항목 수</x:v>
      </x:c>
      <x:c r="B5" s="38" t="n">
        <x:f>COUNTIF(D12:D60,"No-Go")</x:f>
        <x:v>11</x:v>
      </x:c>
    </x:row>
    <x:row r="6">
      <x:c r="A6" s="38" t="str">
        <x:v>Conditional Go 항목 수</x:v>
      </x:c>
      <x:c r="B6" s="38" t="n">
        <x:f>COUNTIF(D12:D60,"Conditional Go")</x:f>
        <x:v>1</x:v>
      </x:c>
    </x:row>
    <x:row r="7">
      <x:c r="A7" s="38" t="str">
        <x:v>Go 항목 수</x:v>
      </x:c>
      <x:c r="B7" s="38" t="n">
        <x:f>COUNTIF(D12:D60,"Go")</x:f>
        <x:v>0</x:v>
      </x:c>
    </x:row>
    <x:row r="8">
      <x:c r="A8" s="38" t="str">
        <x:v>종합 판단</x:v>
      </x:c>
      <x:c r="B8" s="38" t="str">
        <x:f>IF(B5&gt;0,"착수 보류(No-Go)",IF(B6&gt;0,"조건부 착수(Conditional Go)","착수 가능(Go)"))</x:f>
        <x:v>착수 보류(No-Go)</x:v>
      </x:c>
    </x:row>
    <x:row r="11">
      <x:c r="A11" s="20" t="str">
        <x:v>영역</x:v>
      </x:c>
      <x:c r="B11" s="20" t="str">
        <x:v>점검 항목</x:v>
      </x:c>
      <x:c r="C11" s="20" t="str">
        <x:v>상태</x:v>
      </x:c>
      <x:c r="D11" s="20" t="str">
        <x:v>판정</x:v>
      </x:c>
      <x:c r="E11" s="20" t="str">
        <x:v>Day1 필수</x:v>
      </x:c>
      <x:c r="F11" s="20" t="str">
        <x:v>Owner</x:v>
      </x:c>
      <x:c r="G11" s="20" t="str">
        <x:v>Due Date</x:v>
      </x:c>
      <x:c r="H11" s="20" t="str">
        <x:v>Evidence/근거</x:v>
      </x:c>
      <x:c r="I11" s="20" t="str">
        <x:v>관련 산출물</x:v>
      </x:c>
      <x:c r="J11" s="20" t="str">
        <x:v>관련 Chapter</x:v>
      </x:c>
      <x:c r="K11" s="20" t="str">
        <x:v>비고</x:v>
      </x:c>
    </x:row>
    <x:row r="12">
      <x:c r="A12" s="27" t="str">
        <x:v>목표</x:v>
      </x:c>
      <x:c r="B12" s="27" t="str">
        <x:v>프로젝트 목표와 성공 기준이 합의되었다</x:v>
      </x:c>
      <x:c r="C12" s="27" t="str">
        <x:v>미시작</x:v>
      </x:c>
      <x:c r="D12" s="27" t="str">
        <x:f>IF(C12="","",IF(AND(E12="Y",OR(C12="미완료",C12="미시작",C12="지연")),"No-Go",IF(OR(C12="진행중",C12="예외승인"),"Conditional Go",IF(OR(C12="완료",C12="해당없음"),"Go","Conditional Go"))))</x:f>
        <x:v>No-Go</x:v>
      </x:c>
      <x:c r="E12" s="27" t="str">
        <x:v>Y</x:v>
      </x:c>
      <x:c r="F12" s="27" t="str">
        <x:v>PM/고객 PM</x:v>
      </x:c>
      <x:c r="G12" s="27" t="str"/>
      <x:c r="H12" s="27" t="str"/>
      <x:c r="I12" s="27" t="str">
        <x:v>Project Brief</x:v>
      </x:c>
      <x:c r="J12" s="27" t="str">
        <x:v>3장</x:v>
      </x:c>
      <x:c r="K12" s="27" t="str"/>
    </x:row>
    <x:row r="13">
      <x:c r="A13" s="27" t="str">
        <x:v>범위</x:v>
      </x:c>
      <x:c r="B13" s="27" t="str">
        <x:v>Scope In/Out이 합의되었다</x:v>
      </x:c>
      <x:c r="C13" s="27" t="str">
        <x:v>미시작</x:v>
      </x:c>
      <x:c r="D13" s="27" t="str">
        <x:f>IF(C13="","",IF(AND(E13="Y",OR(C13="미완료",C13="미시작",C13="지연")),"No-Go",IF(OR(C13="진행중",C13="예외승인"),"Conditional Go",IF(OR(C13="완료",C13="해당없음"),"Go","Conditional Go"))))</x:f>
        <x:v>No-Go</x:v>
      </x:c>
      <x:c r="E13" s="27" t="str">
        <x:v>Y</x:v>
      </x:c>
      <x:c r="F13" s="27" t="str">
        <x:v>PM/PO</x:v>
      </x:c>
      <x:c r="G13" s="27" t="str"/>
      <x:c r="H13" s="27" t="str"/>
      <x:c r="I13" s="27" t="str">
        <x:v>Scope Matrix</x:v>
      </x:c>
      <x:c r="J13" s="27" t="str">
        <x:v>4장</x:v>
      </x:c>
      <x:c r="K13" s="27" t="str"/>
    </x:row>
    <x:row r="14">
      <x:c r="A14" s="27" t="str">
        <x:v>조직</x:v>
      </x:c>
      <x:c r="B14" s="27" t="str">
        <x:v>고객 PM, PO, 산출물 승인자가 확정되었다</x:v>
      </x:c>
      <x:c r="C14" s="27" t="str">
        <x:v>미시작</x:v>
      </x:c>
      <x:c r="D14" s="27" t="str">
        <x:f>IF(C14="","",IF(AND(E14="Y",OR(C14="미완료",C14="미시작",C14="지연")),"No-Go",IF(OR(C14="진행중",C14="예외승인"),"Conditional Go",IF(OR(C14="완료",C14="해당없음"),"Go","Conditional Go"))))</x:f>
        <x:v>No-Go</x:v>
      </x:c>
      <x:c r="E14" s="27" t="str">
        <x:v>Y</x:v>
      </x:c>
      <x:c r="F14" s="27" t="str">
        <x:v>고객 PM</x:v>
      </x:c>
      <x:c r="G14" s="27" t="str"/>
      <x:c r="H14" s="27" t="str"/>
      <x:c r="I14" s="27" t="str">
        <x:v>Stakeholder/RACI</x:v>
      </x:c>
      <x:c r="J14" s="27" t="str">
        <x:v>5장</x:v>
      </x:c>
      <x:c r="K14" s="27" t="str"/>
    </x:row>
    <x:row r="15">
      <x:c r="A15" s="27" t="str">
        <x:v>방법론</x:v>
      </x:c>
      <x:c r="B15" s="27" t="str">
        <x:v>Sprint 0, Sprint 운영, Backlog 관리 방식이 합의되었다</x:v>
      </x:c>
      <x:c r="C15" s="27" t="str">
        <x:v>미시작</x:v>
      </x:c>
      <x:c r="D15" s="27" t="str">
        <x:f>IF(C15="","",IF(AND(E15="Y",OR(C15="미완료",C15="미시작",C15="지연")),"No-Go",IF(OR(C15="진행중",C15="예외승인"),"Conditional Go",IF(OR(C15="완료",C15="해당없음"),"Go","Conditional Go"))))</x:f>
        <x:v>No-Go</x:v>
      </x:c>
      <x:c r="E15" s="27" t="str">
        <x:v>Y</x:v>
      </x:c>
      <x:c r="F15" s="27" t="str">
        <x:v>PM/Scrum Master</x:v>
      </x:c>
      <x:c r="G15" s="27" t="str"/>
      <x:c r="H15" s="27" t="str"/>
      <x:c r="I15" s="27" t="str">
        <x:v>Working Agreement</x:v>
      </x:c>
      <x:c r="J15" s="27" t="str">
        <x:v>6장</x:v>
      </x:c>
      <x:c r="K15" s="27" t="str"/>
    </x:row>
    <x:row r="16">
      <x:c r="A16" s="27" t="str">
        <x:v>산출물</x:v>
      </x:c>
      <x:c r="B16" s="27" t="str">
        <x:v>산출물 검토·승인 기준이 정의되었다</x:v>
      </x:c>
      <x:c r="C16" s="27" t="str">
        <x:v>미시작</x:v>
      </x:c>
      <x:c r="D16" s="27" t="str">
        <x:f>IF(C16="","",IF(AND(E16="Y",OR(C16="미완료",C16="미시작",C16="지연")),"No-Go",IF(OR(C16="진행중",C16="예외승인"),"Conditional Go",IF(OR(C16="완료",C16="해당없음"),"Go","Conditional Go"))))</x:f>
        <x:v>No-Go</x:v>
      </x:c>
      <x:c r="E16" s="27" t="str">
        <x:v>Y</x:v>
      </x:c>
      <x:c r="F16" s="27" t="str">
        <x:v>PM/QA</x:v>
      </x:c>
      <x:c r="G16" s="27" t="str"/>
      <x:c r="H16" s="27" t="str"/>
      <x:c r="I16" s="27" t="str">
        <x:v>Deliverable Matrix</x:v>
      </x:c>
      <x:c r="J16" s="27" t="str">
        <x:v>7장</x:v>
      </x:c>
      <x:c r="K16" s="27" t="str"/>
    </x:row>
    <x:row r="17">
      <x:c r="A17" s="27" t="str">
        <x:v>일정</x:v>
      </x:c>
      <x:c r="B17" s="27" t="str">
        <x:v>전체 마일스톤과 Sprint 1 후보 일정이 준비되었다</x:v>
      </x:c>
      <x:c r="C17" s="27" t="str">
        <x:v>미시작</x:v>
      </x:c>
      <x:c r="D17" s="27" t="str">
        <x:f>IF(C17="","",IF(AND(E17="Y",OR(C17="미완료",C17="미시작",C17="지연")),"No-Go",IF(OR(C17="진행중",C17="예외승인"),"Conditional Go",IF(OR(C17="완료",C17="해당없음"),"Go","Conditional Go"))))</x:f>
        <x:v>No-Go</x:v>
      </x:c>
      <x:c r="E17" s="27" t="str">
        <x:v>Y</x:v>
      </x:c>
      <x:c r="F17" s="27" t="str">
        <x:v>PM/PL</x:v>
      </x:c>
      <x:c r="G17" s="27" t="str"/>
      <x:c r="H17" s="27" t="str"/>
      <x:c r="I17" s="27" t="str">
        <x:v>Sprint 0 Plan</x:v>
      </x:c>
      <x:c r="J17" s="27" t="str">
        <x:v>8장</x:v>
      </x:c>
      <x:c r="K17" s="27" t="str"/>
    </x:row>
    <x:row r="18">
      <x:c r="A18" s="27" t="str">
        <x:v>품질</x:v>
      </x:c>
      <x:c r="B18" s="27" t="str">
        <x:v>DoR/DoD 및 Acceptance Criteria 기준이 합의되었다</x:v>
      </x:c>
      <x:c r="C18" s="27" t="str">
        <x:v>미시작</x:v>
      </x:c>
      <x:c r="D18" s="27" t="str">
        <x:f>IF(C18="","",IF(AND(E18="Y",OR(C18="미완료",C18="미시작",C18="지연")),"No-Go",IF(OR(C18="진행중",C18="예외승인"),"Conditional Go",IF(OR(C18="완료",C18="해당없음"),"Go","Conditional Go"))))</x:f>
        <x:v>No-Go</x:v>
      </x:c>
      <x:c r="E18" s="27" t="str">
        <x:v>Y</x:v>
      </x:c>
      <x:c r="F18" s="27" t="str">
        <x:v>QA/Scrum Master</x:v>
      </x:c>
      <x:c r="G18" s="27" t="str"/>
      <x:c r="H18" s="27" t="str"/>
      <x:c r="I18" s="27" t="str">
        <x:v>DoR/DoD</x:v>
      </x:c>
      <x:c r="J18" s="27" t="str">
        <x:v>11장</x:v>
      </x:c>
      <x:c r="K18" s="27" t="str"/>
    </x:row>
    <x:row r="19">
      <x:c r="A19" s="27" t="str">
        <x:v>의사소통</x:v>
      </x:c>
      <x:c r="B19" s="27" t="str">
        <x:v>주간보고, Sprint Review, 의사결정 회의체가 정의되었다</x:v>
      </x:c>
      <x:c r="C19" s="27" t="str">
        <x:v>미시작</x:v>
      </x:c>
      <x:c r="D19" s="27" t="str">
        <x:f>IF(C19="","",IF(AND(E19="Y",OR(C19="미완료",C19="미시작",C19="지연")),"No-Go",IF(OR(C19="진행중",C19="예외승인"),"Conditional Go",IF(OR(C19="완료",C19="해당없음"),"Go","Conditional Go"))))</x:f>
        <x:v>No-Go</x:v>
      </x:c>
      <x:c r="E19" s="27" t="str">
        <x:v>Y</x:v>
      </x:c>
      <x:c r="F19" s="27" t="str">
        <x:v>PM/사업관리</x:v>
      </x:c>
      <x:c r="G19" s="27" t="str"/>
      <x:c r="H19" s="27" t="str"/>
      <x:c r="I19" s="27" t="str">
        <x:v>Communication Plan</x:v>
      </x:c>
      <x:c r="J19" s="27" t="str">
        <x:v>13장</x:v>
      </x:c>
      <x:c r="K19" s="27" t="str"/>
    </x:row>
    <x:row r="20">
      <x:c r="A20" s="27" t="str">
        <x:v>위험</x:v>
      </x:c>
      <x:c r="B20" s="27" t="str">
        <x:v>초기 RAID 및 Decision Log가 작성되었다</x:v>
      </x:c>
      <x:c r="C20" s="27" t="str">
        <x:v>미시작</x:v>
      </x:c>
      <x:c r="D20" s="27" t="str">
        <x:f>IF(C20="","",IF(AND(E20="Y",OR(C20="미완료",C20="미시작",C20="지연")),"No-Go",IF(OR(C20="진행중",C20="예외승인"),"Conditional Go",IF(OR(C20="완료",C20="해당없음"),"Go","Conditional Go"))))</x:f>
        <x:v>No-Go</x:v>
      </x:c>
      <x:c r="E20" s="27" t="str">
        <x:v>Y</x:v>
      </x:c>
      <x:c r="F20" s="27" t="str">
        <x:v>PM</x:v>
      </x:c>
      <x:c r="G20" s="27" t="str"/>
      <x:c r="H20" s="27" t="str"/>
      <x:c r="I20" s="27" t="str">
        <x:v>RAID/Decision Log</x:v>
      </x:c>
      <x:c r="J20" s="27" t="str">
        <x:v>14장</x:v>
      </x:c>
      <x:c r="K20" s="27" t="str"/>
    </x:row>
    <x:row r="21">
      <x:c r="A21" s="27" t="str">
        <x:v>환경</x:v>
      </x:c>
      <x:c r="B21" s="27" t="str">
        <x:v>Day1 필수 협업도구, 저장소, 시스템 접근권한이 준비되었다</x:v>
      </x:c>
      <x:c r="C21" s="27" t="str">
        <x:v>미시작</x:v>
      </x:c>
      <x:c r="D21" s="27" t="str">
        <x:f>IF(C21="","",IF(AND(E21="Y",OR(C21="미완료",C21="미시작",C21="지연")),"No-Go",IF(OR(C21="진행중",C21="예외승인"),"Conditional Go",IF(OR(C21="완료",C21="해당없음"),"Go","Conditional Go"))))</x:f>
        <x:v>No-Go</x:v>
      </x:c>
      <x:c r="E21" s="27" t="str">
        <x:v>Y</x:v>
      </x:c>
      <x:c r="F21" s="27" t="str">
        <x:v>Architect/고객 IT</x:v>
      </x:c>
      <x:c r="G21" s="27" t="str"/>
      <x:c r="H21" s="27" t="str"/>
      <x:c r="I21" s="27" t="str">
        <x:v>Access Matrix</x:v>
      </x:c>
      <x:c r="J21" s="27" t="str">
        <x:v>15/18장</x:v>
      </x:c>
      <x:c r="K21" s="27" t="str"/>
    </x:row>
    <x:row r="22">
      <x:c r="A22" s="27" t="str">
        <x:v>보안</x:v>
      </x:c>
      <x:c r="B22" s="27" t="str">
        <x:v>보안교육, 보안서약, 자료관리 기준이 확인되었다</x:v>
      </x:c>
      <x:c r="C22" s="27" t="str">
        <x:v>미시작</x:v>
      </x:c>
      <x:c r="D22" s="27" t="str">
        <x:f>IF(C22="","",IF(AND(E22="Y",OR(C22="미완료",C22="미시작",C22="지연")),"No-Go",IF(OR(C22="진행중",C22="예외승인"),"Conditional Go",IF(OR(C22="완료",C22="해당없음"),"Go","Conditional Go"))))</x:f>
        <x:v>No-Go</x:v>
      </x:c>
      <x:c r="E22" s="27" t="str">
        <x:v>Y</x:v>
      </x:c>
      <x:c r="F22" s="27" t="str">
        <x:v>보안담당</x:v>
      </x:c>
      <x:c r="G22" s="27" t="str"/>
      <x:c r="H22" s="27" t="str"/>
      <x:c r="I22" s="27" t="str">
        <x:v>Security Readiness</x:v>
      </x:c>
      <x:c r="J22" s="27" t="str">
        <x:v>18장</x:v>
      </x:c>
      <x:c r="K22" s="27" t="str"/>
    </x:row>
    <x:row r="23">
      <x:c r="A23" s="27" t="str">
        <x:v>오픈/전환</x:v>
      </x:c>
      <x:c r="B23" s="27" t="str">
        <x:v>향후 오픈·전환 준비 항목이 식별되었다</x:v>
      </x:c>
      <x:c r="C23" s="27" t="str">
        <x:v>미시작</x:v>
      </x:c>
      <x:c r="D23" s="27" t="str">
        <x:f>IF(C23="","",IF(AND(E23="Y",OR(C23="미완료",C23="미시작",C23="지연")),"No-Go",IF(OR(C23="진행중",C23="예외승인"),"Conditional Go",IF(OR(C23="완료",C23="해당없음"),"Go","Conditional Go"))))</x:f>
        <x:v>Conditional Go</x:v>
      </x:c>
      <x:c r="E23" s="27" t="str">
        <x:v>N</x:v>
      </x:c>
      <x:c r="F23" s="27" t="str">
        <x:v>PM/운영</x:v>
      </x:c>
      <x:c r="G23" s="27" t="str"/>
      <x:c r="H23" s="27" t="str"/>
      <x:c r="I23" s="27" t="str">
        <x:v>Launch/Transition Checklist</x:v>
      </x:c>
      <x:c r="J23" s="27" t="str">
        <x:v>20/21장</x:v>
      </x:c>
      <x:c r="K23" s="27" t="str"/>
    </x:row>
    <x:row r="24">
      <x:c r="D24" t="str">
        <x:f>IF(C24="","",IF(AND(E24="Y",OR(C24="미완료",C24="미시작",C24="지연")),"No-Go",IF(OR(C24="진행중",C24="예외승인"),"Conditional Go",IF(OR(C24="완료",C24="해당없음"),"Go","Conditional Go"))))</x:f>
      </x:c>
    </x:row>
    <x:row r="25">
      <x:c r="D25" t="str">
        <x:f>IF(C25="","",IF(AND(E25="Y",OR(C25="미완료",C25="미시작",C25="지연")),"No-Go",IF(OR(C25="진행중",C25="예외승인"),"Conditional Go",IF(OR(C25="완료",C25="해당없음"),"Go","Conditional Go"))))</x:f>
      </x:c>
    </x:row>
    <x:row r="26">
      <x:c r="D26" t="str">
        <x:f>IF(C26="","",IF(AND(E26="Y",OR(C26="미완료",C26="미시작",C26="지연")),"No-Go",IF(OR(C26="진행중",C26="예외승인"),"Conditional Go",IF(OR(C26="완료",C26="해당없음"),"Go","Conditional Go"))))</x:f>
      </x:c>
    </x:row>
    <x:row r="27">
      <x:c r="D27" t="str">
        <x:f>IF(C27="","",IF(AND(E27="Y",OR(C27="미완료",C27="미시작",C27="지연")),"No-Go",IF(OR(C27="진행중",C27="예외승인"),"Conditional Go",IF(OR(C27="완료",C27="해당없음"),"Go","Conditional Go"))))</x:f>
      </x:c>
    </x:row>
    <x:row r="28">
      <x:c r="D28" t="str">
        <x:f>IF(C28="","",IF(AND(E28="Y",OR(C28="미완료",C28="미시작",C28="지연")),"No-Go",IF(OR(C28="진행중",C28="예외승인"),"Conditional Go",IF(OR(C28="완료",C28="해당없음"),"Go","Conditional Go"))))</x:f>
      </x:c>
    </x:row>
    <x:row r="29">
      <x:c r="D29" t="str">
        <x:f>IF(C29="","",IF(AND(E29="Y",OR(C29="미완료",C29="미시작",C29="지연")),"No-Go",IF(OR(C29="진행중",C29="예외승인"),"Conditional Go",IF(OR(C29="완료",C29="해당없음"),"Go","Conditional Go"))))</x:f>
      </x:c>
    </x:row>
    <x:row r="30">
      <x:c r="D30" t="str">
        <x:f>IF(C30="","",IF(AND(E30="Y",OR(C30="미완료",C30="미시작",C30="지연")),"No-Go",IF(OR(C30="진행중",C30="예외승인"),"Conditional Go",IF(OR(C30="완료",C30="해당없음"),"Go","Conditional Go"))))</x:f>
      </x:c>
    </x:row>
    <x:row r="31">
      <x:c r="D31" t="str">
        <x:f>IF(C31="","",IF(AND(E31="Y",OR(C31="미완료",C31="미시작",C31="지연")),"No-Go",IF(OR(C31="진행중",C31="예외승인"),"Conditional Go",IF(OR(C31="완료",C31="해당없음"),"Go","Conditional Go"))))</x:f>
      </x:c>
    </x:row>
    <x:row r="32">
      <x:c r="D32" t="str">
        <x:f>IF(C32="","",IF(AND(E32="Y",OR(C32="미완료",C32="미시작",C32="지연")),"No-Go",IF(OR(C32="진행중",C32="예외승인"),"Conditional Go",IF(OR(C32="완료",C32="해당없음"),"Go","Conditional Go"))))</x:f>
      </x:c>
    </x:row>
    <x:row r="33">
      <x:c r="D33" t="str">
        <x:f>IF(C33="","",IF(AND(E33="Y",OR(C33="미완료",C33="미시작",C33="지연")),"No-Go",IF(OR(C33="진행중",C33="예외승인"),"Conditional Go",IF(OR(C33="완료",C33="해당없음"),"Go","Conditional Go"))))</x:f>
      </x:c>
    </x:row>
    <x:row r="34">
      <x:c r="D34" t="str">
        <x:f>IF(C34="","",IF(AND(E34="Y",OR(C34="미완료",C34="미시작",C34="지연")),"No-Go",IF(OR(C34="진행중",C34="예외승인"),"Conditional Go",IF(OR(C34="완료",C34="해당없음"),"Go","Conditional Go"))))</x:f>
      </x:c>
    </x:row>
    <x:row r="35">
      <x:c r="D35" t="str">
        <x:f>IF(C35="","",IF(AND(E35="Y",OR(C35="미완료",C35="미시작",C35="지연")),"No-Go",IF(OR(C35="진행중",C35="예외승인"),"Conditional Go",IF(OR(C35="완료",C35="해당없음"),"Go","Conditional Go"))))</x:f>
      </x:c>
    </x:row>
    <x:row r="36">
      <x:c r="D36" t="str">
        <x:f>IF(C36="","",IF(AND(E36="Y",OR(C36="미완료",C36="미시작",C36="지연")),"No-Go",IF(OR(C36="진행중",C36="예외승인"),"Conditional Go",IF(OR(C36="완료",C36="해당없음"),"Go","Conditional Go"))))</x:f>
      </x:c>
    </x:row>
    <x:row r="37">
      <x:c r="D37" t="str">
        <x:f>IF(C37="","",IF(AND(E37="Y",OR(C37="미완료",C37="미시작",C37="지연")),"No-Go",IF(OR(C37="진행중",C37="예외승인"),"Conditional Go",IF(OR(C37="완료",C37="해당없음"),"Go","Conditional Go"))))</x:f>
      </x:c>
    </x:row>
    <x:row r="38">
      <x:c r="D38" t="str">
        <x:f>IF(C38="","",IF(AND(E38="Y",OR(C38="미완료",C38="미시작",C38="지연")),"No-Go",IF(OR(C38="진행중",C38="예외승인"),"Conditional Go",IF(OR(C38="완료",C38="해당없음"),"Go","Conditional Go"))))</x:f>
      </x:c>
    </x:row>
    <x:row r="39">
      <x:c r="D39" t="str">
        <x:f>IF(C39="","",IF(AND(E39="Y",OR(C39="미완료",C39="미시작",C39="지연")),"No-Go",IF(OR(C39="진행중",C39="예외승인"),"Conditional Go",IF(OR(C39="완료",C39="해당없음"),"Go","Conditional Go"))))</x:f>
      </x:c>
    </x:row>
    <x:row r="40">
      <x:c r="D40" t="str">
        <x:f>IF(C40="","",IF(AND(E40="Y",OR(C40="미완료",C40="미시작",C40="지연")),"No-Go",IF(OR(C40="진행중",C40="예외승인"),"Conditional Go",IF(OR(C40="완료",C40="해당없음"),"Go","Conditional Go"))))</x:f>
      </x:c>
    </x:row>
    <x:row r="41">
      <x:c r="D41" t="str">
        <x:f>IF(C41="","",IF(AND(E41="Y",OR(C41="미완료",C41="미시작",C41="지연")),"No-Go",IF(OR(C41="진행중",C41="예외승인"),"Conditional Go",IF(OR(C41="완료",C41="해당없음"),"Go","Conditional Go"))))</x:f>
      </x:c>
    </x:row>
    <x:row r="42">
      <x:c r="D42" t="str">
        <x:f>IF(C42="","",IF(AND(E42="Y",OR(C42="미완료",C42="미시작",C42="지연")),"No-Go",IF(OR(C42="진행중",C42="예외승인"),"Conditional Go",IF(OR(C42="완료",C42="해당없음"),"Go","Conditional Go"))))</x:f>
      </x:c>
    </x:row>
    <x:row r="43">
      <x:c r="D43" t="str">
        <x:f>IF(C43="","",IF(AND(E43="Y",OR(C43="미완료",C43="미시작",C43="지연")),"No-Go",IF(OR(C43="진행중",C43="예외승인"),"Conditional Go",IF(OR(C43="완료",C43="해당없음"),"Go","Conditional Go"))))</x:f>
      </x:c>
    </x:row>
    <x:row r="44">
      <x:c r="D44" t="str">
        <x:f>IF(C44="","",IF(AND(E44="Y",OR(C44="미완료",C44="미시작",C44="지연")),"No-Go",IF(OR(C44="진행중",C44="예외승인"),"Conditional Go",IF(OR(C44="완료",C44="해당없음"),"Go","Conditional Go"))))</x:f>
      </x:c>
    </x:row>
    <x:row r="45">
      <x:c r="D45" t="str">
        <x:f>IF(C45="","",IF(AND(E45="Y",OR(C45="미완료",C45="미시작",C45="지연")),"No-Go",IF(OR(C45="진행중",C45="예외승인"),"Conditional Go",IF(OR(C45="완료",C45="해당없음"),"Go","Conditional Go"))))</x:f>
      </x:c>
    </x:row>
    <x:row r="46">
      <x:c r="D46" t="str">
        <x:f>IF(C46="","",IF(AND(E46="Y",OR(C46="미완료",C46="미시작",C46="지연")),"No-Go",IF(OR(C46="진행중",C46="예외승인"),"Conditional Go",IF(OR(C46="완료",C46="해당없음"),"Go","Conditional Go"))))</x:f>
      </x:c>
    </x:row>
    <x:row r="47">
      <x:c r="D47" t="str">
        <x:f>IF(C47="","",IF(AND(E47="Y",OR(C47="미완료",C47="미시작",C47="지연")),"No-Go",IF(OR(C47="진행중",C47="예외승인"),"Conditional Go",IF(OR(C47="완료",C47="해당없음"),"Go","Conditional Go"))))</x:f>
      </x:c>
    </x:row>
    <x:row r="48">
      <x:c r="D48" t="str">
        <x:f>IF(C48="","",IF(AND(E48="Y",OR(C48="미완료",C48="미시작",C48="지연")),"No-Go",IF(OR(C48="진행중",C48="예외승인"),"Conditional Go",IF(OR(C48="완료",C48="해당없음"),"Go","Conditional Go"))))</x:f>
      </x:c>
    </x:row>
    <x:row r="49">
      <x:c r="D49" t="str">
        <x:f>IF(C49="","",IF(AND(E49="Y",OR(C49="미완료",C49="미시작",C49="지연")),"No-Go",IF(OR(C49="진행중",C49="예외승인"),"Conditional Go",IF(OR(C49="완료",C49="해당없음"),"Go","Conditional Go"))))</x:f>
      </x:c>
    </x:row>
    <x:row r="50">
      <x:c r="D50" t="str">
        <x:f>IF(C50="","",IF(AND(E50="Y",OR(C50="미완료",C50="미시작",C50="지연")),"No-Go",IF(OR(C50="진행중",C50="예외승인"),"Conditional Go",IF(OR(C50="완료",C50="해당없음"),"Go","Conditional Go"))))</x:f>
      </x:c>
    </x:row>
    <x:row r="51">
      <x:c r="D51" t="str">
        <x:f>IF(C51="","",IF(AND(E51="Y",OR(C51="미완료",C51="미시작",C51="지연")),"No-Go",IF(OR(C51="진행중",C51="예외승인"),"Conditional Go",IF(OR(C51="완료",C51="해당없음"),"Go","Conditional Go"))))</x:f>
      </x:c>
    </x:row>
    <x:row r="52">
      <x:c r="D52" t="str">
        <x:f>IF(C52="","",IF(AND(E52="Y",OR(C52="미완료",C52="미시작",C52="지연")),"No-Go",IF(OR(C52="진행중",C52="예외승인"),"Conditional Go",IF(OR(C52="완료",C52="해당없음"),"Go","Conditional Go"))))</x:f>
      </x:c>
    </x:row>
    <x:row r="53">
      <x:c r="D53" t="str">
        <x:f>IF(C53="","",IF(AND(E53="Y",OR(C53="미완료",C53="미시작",C53="지연")),"No-Go",IF(OR(C53="진행중",C53="예외승인"),"Conditional Go",IF(OR(C53="완료",C53="해당없음"),"Go","Conditional Go"))))</x:f>
      </x:c>
    </x:row>
    <x:row r="54">
      <x:c r="D54" t="str">
        <x:f>IF(C54="","",IF(AND(E54="Y",OR(C54="미완료",C54="미시작",C54="지연")),"No-Go",IF(OR(C54="진행중",C54="예외승인"),"Conditional Go",IF(OR(C54="완료",C54="해당없음"),"Go","Conditional Go"))))</x:f>
      </x:c>
    </x:row>
    <x:row r="55">
      <x:c r="D55" t="str">
        <x:f>IF(C55="","",IF(AND(E55="Y",OR(C55="미완료",C55="미시작",C55="지연")),"No-Go",IF(OR(C55="진행중",C55="예외승인"),"Conditional Go",IF(OR(C55="완료",C55="해당없음"),"Go","Conditional Go"))))</x:f>
      </x:c>
    </x:row>
    <x:row r="56">
      <x:c r="D56" t="str">
        <x:f>IF(C56="","",IF(AND(E56="Y",OR(C56="미완료",C56="미시작",C56="지연")),"No-Go",IF(OR(C56="진행중",C56="예외승인"),"Conditional Go",IF(OR(C56="완료",C56="해당없음"),"Go","Conditional Go"))))</x:f>
      </x:c>
    </x:row>
    <x:row r="57">
      <x:c r="D57" t="str">
        <x:f>IF(C57="","",IF(AND(E57="Y",OR(C57="미완료",C57="미시작",C57="지연")),"No-Go",IF(OR(C57="진행중",C57="예외승인"),"Conditional Go",IF(OR(C57="완료",C57="해당없음"),"Go","Conditional Go"))))</x:f>
      </x:c>
    </x:row>
    <x:row r="58">
      <x:c r="D58" t="str">
        <x:f>IF(C58="","",IF(AND(E58="Y",OR(C58="미완료",C58="미시작",C58="지연")),"No-Go",IF(OR(C58="진행중",C58="예외승인"),"Conditional Go",IF(OR(C58="완료",C58="해당없음"),"Go","Conditional Go"))))</x:f>
      </x:c>
    </x:row>
    <x:row r="59">
      <x:c r="D59" t="str">
        <x:f>IF(C59="","",IF(AND(E59="Y",OR(C59="미완료",C59="미시작",C59="지연")),"No-Go",IF(OR(C59="진행중",C59="예외승인"),"Conditional Go",IF(OR(C59="완료",C59="해당없음"),"Go","Conditional Go"))))</x:f>
      </x:c>
    </x:row>
    <x:row r="60">
      <x:c r="D60" t="str">
        <x:f>IF(C60="","",IF(AND(E60="Y",OR(C60="미완료",C60="미시작",C60="지연")),"No-Go",IF(OR(C60="진행중",C60="예외승인"),"Conditional Go",IF(OR(C60="완료",C60="해당없음"),"Go","Conditional Go"))))</x:f>
      </x:c>
    </x:row>
  </x:sheetData>
  <x:mergeCells>
    <x:mergeCell ref="A1:K1"/>
    <x:mergeCell ref="A2:K2"/>
  </x:mergeCells>
  <x:conditionalFormatting sqref="D12:D60">
    <x:cfRule type="expression" dxfId="0" priority="1">
      <x:formula>D12="No-Go"</x:formula>
    </x:cfRule>
    <x:cfRule type="expression" dxfId="1" priority="2">
      <x:formula>D12="Conditional Go"</x:formula>
    </x:cfRule>
    <x:cfRule type="expression" dxfId="2" priority="3">
      <x:formula>D12="Go"</x:formula>
    </x:cfRule>
  </x:conditionalFormatting>
  <x:dataValidations count="3">
    <x:dataValidation type="list" sqref="C12:C60">
      <x:formula1>"미시작,진행중,완료,지연,미완료,예외승인,해당없음"</x:formula1>
    </x:dataValidation>
    <x:dataValidation type="list" sqref="D12:D60">
      <x:formula1>"Go,Conditional Go,No-Go"</x:formula1>
    </x:dataValidation>
    <x:dataValidation type="list" sqref="E12:E6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f83e042602435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18" hidden="0" customWidth="1"/>
    <x:col min="5" max="5" width="32" hidden="0" customWidth="1"/>
    <x:col min="6" max="6" width="18" hidden="0" customWidth="1"/>
    <x:col min="7" max="7" width="14" hidden="0" customWidth="1"/>
    <x:col min="8" max="8" width="34" hidden="0" customWidth="1"/>
    <x:col min="9" max="9" width="18" hidden="0" customWidth="1"/>
    <x:col min="10" max="10" width="24" hidden="0" customWidth="1"/>
  </x:cols>
  <x:sheetData>
    <x:row r="1" ht="28" customHeight="1">
      <x:c r="A1" s="42" t="str">
        <x:v>사업수행계획서 Chapter 반영현황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Sprint 0 Playbook 산출물이 AXD 사업수행계획서 각 Chapter에 어느 수준으로 반영되는지 관리합니다.</x:v>
      </x:c>
    </x:row>
    <x:row r="4">
      <x:c r="A4" s="20" t="str">
        <x:v>Chapter</x:v>
      </x:c>
      <x:c r="B4" s="20" t="str">
        <x:v>Chapter명</x:v>
      </x:c>
      <x:c r="C4" s="20" t="str">
        <x:v>Sprint 0 입력/산출물</x:v>
      </x:c>
      <x:c r="D4" s="20" t="str">
        <x:v>작성 가능 수준</x:v>
      </x:c>
      <x:c r="E4" s="20" t="str">
        <x:v>생성 방식</x:v>
      </x:c>
      <x:c r="F4" s="20" t="str">
        <x:v>담당</x:v>
      </x:c>
      <x:c r="G4" s="20" t="str">
        <x:v>상태</x:v>
      </x:c>
      <x:c r="H4" s="20" t="str">
        <x:v>보완 필요사항</x:v>
      </x:c>
      <x:c r="I4" s="20" t="str">
        <x:v>보완 시점</x:v>
      </x:c>
      <x:c r="J4" s="20" t="str">
        <x:v>비고</x:v>
      </x:c>
    </x:row>
    <x:row r="5">
      <x:c r="A5" s="27" t="str">
        <x:v>1</x:v>
      </x:c>
      <x:c r="B5" s="27" t="str">
        <x:v>사업명</x:v>
      </x:c>
      <x:c r="C5" s="27" t="str">
        <x:v>Project Brief</x:v>
      </x:c>
      <x:c r="D5" s="27" t="str">
        <x:v>확정 가능</x:v>
      </x:c>
      <x:c r="E5" s="27" t="str">
        <x:v>계약/제안 정보 확인</x:v>
      </x:c>
      <x:c r="F5" s="27" t="str">
        <x:v>PM</x:v>
      </x:c>
      <x:c r="G5" s="27" t="str">
        <x:v>미시작</x:v>
      </x:c>
      <x:c r="H5" s="27" t="str"/>
      <x:c r="I5" s="27" t="str">
        <x:v>Sprint 0</x:v>
      </x:c>
      <x:c r="J5" s="27" t="str"/>
    </x:row>
    <x:row r="6">
      <x:c r="A6" s="27" t="str">
        <x:v>2</x:v>
      </x:c>
      <x:c r="B6" s="27" t="str">
        <x:v>사업기간</x:v>
      </x:c>
      <x:c r="C6" s="27" t="str">
        <x:v>Project Brief, Program Cadence</x:v>
      </x:c>
      <x:c r="D6" s="27" t="str">
        <x:v>확정 가능</x:v>
      </x:c>
      <x:c r="E6" s="27" t="str">
        <x:v>계약기간 + 실제 착수 기준 보정</x:v>
      </x:c>
      <x:c r="F6" s="27" t="str">
        <x:v>PM</x:v>
      </x:c>
      <x:c r="G6" s="27" t="str">
        <x:v>미시작</x:v>
      </x:c>
      <x:c r="H6" s="27" t="str">
        <x:v>상세 일정 보완</x:v>
      </x:c>
      <x:c r="I6" s="27" t="str">
        <x:v>Sprint 0 이후</x:v>
      </x:c>
      <x:c r="J6" s="27" t="str"/>
    </x:row>
    <x:row r="7">
      <x:c r="A7" s="27" t="str">
        <x:v>3</x:v>
      </x:c>
      <x:c r="B7" s="27" t="str">
        <x:v>추진 배경 및 목적</x:v>
      </x:c>
      <x:c r="C7" s="27" t="str">
        <x:v>Project Brief, 성공 기준</x:v>
      </x:c>
      <x:c r="D7" s="27" t="str">
        <x:v>확정 가능</x:v>
      </x:c>
      <x:c r="E7" s="27" t="str">
        <x:v>고객 목표/기대성과 반영</x:v>
      </x:c>
      <x:c r="F7" s="27" t="str">
        <x:v>PM/PO</x:v>
      </x:c>
      <x:c r="G7" s="27" t="str">
        <x:v>미시작</x:v>
      </x:c>
      <x:c r="H7" s="27" t="str">
        <x:v>KPI 불명확 시 보완</x:v>
      </x:c>
      <x:c r="I7" s="27" t="str">
        <x:v>Sprint 0</x:v>
      </x:c>
      <x:c r="J7" s="27" t="str"/>
    </x:row>
    <x:row r="8">
      <x:c r="A8" s="27" t="str">
        <x:v>4</x:v>
      </x:c>
      <x:c r="B8" s="27" t="str">
        <x:v>사업 범위</x:v>
      </x:c>
      <x:c r="C8" s="27" t="str">
        <x:v>Scope Matrix, Initial Backlog</x:v>
      </x:c>
      <x:c r="D8" s="27" t="str">
        <x:v>초안 가능</x:v>
      </x:c>
      <x:c r="E8" s="27" t="str">
        <x:v>범위 기준선 작성</x:v>
      </x:c>
      <x:c r="F8" s="27" t="str">
        <x:v>PM/Architect/PO</x:v>
      </x:c>
      <x:c r="G8" s="27" t="str">
        <x:v>미시작</x:v>
      </x:c>
      <x:c r="H8" s="27" t="str">
        <x:v>상세 구성도/구현방안</x:v>
      </x:c>
      <x:c r="I8" s="27" t="str">
        <x:v>분석/설계</x:v>
      </x:c>
      <x:c r="J8" s="27" t="str"/>
    </x:row>
    <x:row r="9">
      <x:c r="A9" s="27" t="str">
        <x:v>5</x:v>
      </x:c>
      <x:c r="B9" s="27" t="str">
        <x:v>사업 추진 체계</x:v>
      </x:c>
      <x:c r="C9" s="27" t="str">
        <x:v>Stakeholder Map, RACI</x:v>
      </x:c>
      <x:c r="D9" s="27" t="str">
        <x:v>대부분 확정 가능</x:v>
      </x:c>
      <x:c r="E9" s="27" t="str">
        <x:v>역할/책임/연락체계 반영</x:v>
      </x:c>
      <x:c r="F9" s="27" t="str">
        <x:v>PM</x:v>
      </x:c>
      <x:c r="G9" s="27" t="str">
        <x:v>미시작</x:v>
      </x:c>
      <x:c r="H9" s="27" t="str">
        <x:v>인력 이력/M/M</x:v>
      </x:c>
      <x:c r="I9" s="27" t="str">
        <x:v>Sprint 0 이후</x:v>
      </x:c>
      <x:c r="J9" s="27" t="str"/>
    </x:row>
    <x:row r="10">
      <x:c r="A10" s="27" t="str">
        <x:v>6</x:v>
      </x:c>
      <x:c r="B10" s="27" t="str">
        <x:v>사업 추진 절차</x:v>
      </x:c>
      <x:c r="C10" s="27" t="str">
        <x:v>Sprint 0 Plan, Working Agreement</x:v>
      </x:c>
      <x:c r="D10" s="27" t="str">
        <x:v>확정 가능</x:v>
      </x:c>
      <x:c r="E10" s="27" t="str">
        <x:v>AXD + Agile/Hybrid 적용방식 정의</x:v>
      </x:c>
      <x:c r="F10" s="27" t="str">
        <x:v>PM/QA</x:v>
      </x:c>
      <x:c r="G10" s="27" t="str">
        <x:v>미시작</x:v>
      </x:c>
      <x:c r="H10" s="27" t="str">
        <x:v>상세 Tailoring</x:v>
      </x:c>
      <x:c r="I10" s="27" t="str">
        <x:v>Sprint 0</x:v>
      </x:c>
      <x:c r="J10" s="27" t="str"/>
    </x:row>
    <x:row r="11">
      <x:c r="A11" s="27" t="str">
        <x:v>7</x:v>
      </x:c>
      <x:c r="B11" s="27" t="str">
        <x:v>산출물 계획</x:v>
      </x:c>
      <x:c r="C11" s="27" t="str">
        <x:v>Deliverable Acceptance Matrix</x:v>
      </x:c>
      <x:c r="D11" s="27" t="str">
        <x:v>확정 가능</x:v>
      </x:c>
      <x:c r="E11" s="27" t="str">
        <x:v>산출물 승인 Matrix 반영</x:v>
      </x:c>
      <x:c r="F11" s="27" t="str">
        <x:v>PM/QA</x:v>
      </x:c>
      <x:c r="G11" s="27" t="str">
        <x:v>미시작</x:v>
      </x:c>
      <x:c r="H11" s="27" t="str">
        <x:v>개발 산출물 상세 조정</x:v>
      </x:c>
      <x:c r="I11" s="27" t="str">
        <x:v>분석/설계</x:v>
      </x:c>
      <x:c r="J11" s="27" t="str"/>
    </x:row>
    <x:row r="12">
      <x:c r="A12" s="27" t="str">
        <x:v>8</x:v>
      </x:c>
      <x:c r="B12" s="27" t="str">
        <x:v>일정 계획</x:v>
      </x:c>
      <x:c r="C12" s="27" t="str">
        <x:v>Program Cadence, Sprint 1 후보</x:v>
      </x:c>
      <x:c r="D12" s="27" t="str">
        <x:v>초안 가능</x:v>
      </x:c>
      <x:c r="E12" s="27" t="str">
        <x:v>마일스톤/Sprint 운영주기 반영</x:v>
      </x:c>
      <x:c r="F12" s="27" t="str">
        <x:v>PM/PL</x:v>
      </x:c>
      <x:c r="G12" s="27" t="str">
        <x:v>미시작</x:v>
      </x:c>
      <x:c r="H12" s="27" t="str">
        <x:v>상세 WBS</x:v>
      </x:c>
      <x:c r="I12" s="27" t="str">
        <x:v>Sprint 0 이후</x:v>
      </x:c>
      <x:c r="J12" s="27" t="str"/>
    </x:row>
    <x:row r="13">
      <x:c r="A13" s="27" t="str">
        <x:v>9</x:v>
      </x:c>
      <x:c r="B13" s="27" t="str">
        <x:v>표준화 계획</x:v>
      </x:c>
      <x:c r="C13" s="27" t="str">
        <x:v>Working Agreement, 표준 적용 목록</x:v>
      </x:c>
      <x:c r="D13" s="27" t="str">
        <x:v>초안 가능</x:v>
      </x:c>
      <x:c r="E13" s="27" t="str">
        <x:v>기존 표준 선택/적용</x:v>
      </x:c>
      <x:c r="F13" s="27" t="str">
        <x:v>QA/Tech Lead</x:v>
      </x:c>
      <x:c r="G13" s="27" t="str">
        <x:v>미시작</x:v>
      </x:c>
      <x:c r="H13" s="27" t="str">
        <x:v>코딩/데이터 표준 상세</x:v>
      </x:c>
      <x:c r="I13" s="27" t="str">
        <x:v>설계</x:v>
      </x:c>
      <x:c r="J13" s="27" t="str"/>
    </x:row>
    <x:row r="14">
      <x:c r="A14" s="27" t="str">
        <x:v>10</x:v>
      </x:c>
      <x:c r="B14" s="27" t="str">
        <x:v>변경관리 계획</x:v>
      </x:c>
      <x:c r="C14" s="27" t="str">
        <x:v>Working Agreement, Change Rule</x:v>
      </x:c>
      <x:c r="D14" s="27" t="str">
        <x:v>초안 가능</x:v>
      </x:c>
      <x:c r="E14" s="27" t="str">
        <x:v>CR + Backlog 변경 이력 기준 반영</x:v>
      </x:c>
      <x:c r="F14" s="27" t="str">
        <x:v>PM/QA</x:v>
      </x:c>
      <x:c r="G14" s="27" t="str">
        <x:v>미시작</x:v>
      </x:c>
      <x:c r="H14" s="27" t="str">
        <x:v>CCB 상세 기준</x:v>
      </x:c>
      <x:c r="I14" s="27" t="str">
        <x:v>Sprint 0 이후</x:v>
      </x:c>
      <x:c r="J14" s="27" t="str"/>
    </x:row>
    <x:row r="15">
      <x:c r="A15" s="27" t="str">
        <x:v>11</x:v>
      </x:c>
      <x:c r="B15" s="27" t="str">
        <x:v>품질관리 계획</x:v>
      </x:c>
      <x:c r="C15" s="27" t="str">
        <x:v>DoR/DoD, Deliverable AC</x:v>
      </x:c>
      <x:c r="D15" s="27" t="str">
        <x:v>초안 가능</x:v>
      </x:c>
      <x:c r="E15" s="27" t="str">
        <x:v>품질 Gate/완료기준 반영</x:v>
      </x:c>
      <x:c r="F15" s="27" t="str">
        <x:v>QA</x:v>
      </x:c>
      <x:c r="G15" s="27" t="str">
        <x:v>미시작</x:v>
      </x:c>
      <x:c r="H15" s="27" t="str">
        <x:v>테스트 상세계획/정량목표</x:v>
      </x:c>
      <x:c r="I15" s="27" t="str">
        <x:v>품질계획 수립</x:v>
      </x:c>
      <x:c r="J15" s="27" t="str"/>
    </x:row>
    <x:row r="16">
      <x:c r="A16" s="27" t="str">
        <x:v>12</x:v>
      </x:c>
      <x:c r="B16" s="27" t="str">
        <x:v>인력관리 계획</x:v>
      </x:c>
      <x:c r="C16" s="27" t="str">
        <x:v>Team Onboarding</x:v>
      </x:c>
      <x:c r="D16" s="27" t="str">
        <x:v>일부 가능</x:v>
      </x:c>
      <x:c r="E16" s="27" t="str">
        <x:v>투입/온보딩 현황 반영</x:v>
      </x:c>
      <x:c r="F16" s="27" t="str">
        <x:v>사업관리</x:v>
      </x:c>
      <x:c r="G16" s="27" t="str">
        <x:v>미시작</x:v>
      </x:c>
      <x:c r="H16" s="27" t="str">
        <x:v>인력변경/철수 절차</x:v>
      </x:c>
      <x:c r="I16" s="27" t="str">
        <x:v>Sprint 0 이후</x:v>
      </x:c>
      <x:c r="J16" s="27" t="str"/>
    </x:row>
    <x:row r="17">
      <x:c r="A17" s="27" t="str">
        <x:v>13</x:v>
      </x:c>
      <x:c r="B17" s="27" t="str">
        <x:v>의사소통관리 계획</x:v>
      </x:c>
      <x:c r="C17" s="27" t="str">
        <x:v>Communication Plan, Cadence</x:v>
      </x:c>
      <x:c r="D17" s="27" t="str">
        <x:v>확정 가능</x:v>
      </x:c>
      <x:c r="E17" s="27" t="str">
        <x:v>보고/회의/Action Item 기준 반영</x:v>
      </x:c>
      <x:c r="F17" s="27" t="str">
        <x:v>PM/사업관리</x:v>
      </x:c>
      <x:c r="G17" s="27" t="str">
        <x:v>미시작</x:v>
      </x:c>
      <x:c r="H17" s="27" t="str">
        <x:v>공문 절차 세부</x:v>
      </x:c>
      <x:c r="I17" s="27" t="str">
        <x:v>Sprint 0</x:v>
      </x:c>
      <x:c r="J17" s="27" t="str"/>
    </x:row>
    <x:row r="18">
      <x:c r="A18" s="27" t="str">
        <x:v>14</x:v>
      </x:c>
      <x:c r="B18" s="27" t="str">
        <x:v>위험관리 계획</x:v>
      </x:c>
      <x:c r="C18" s="27" t="str">
        <x:v>Readiness, RAID, Decision Log</x:v>
      </x:c>
      <x:c r="D18" s="27" t="str">
        <x:v>초안 가능</x:v>
      </x:c>
      <x:c r="E18" s="27" t="str">
        <x:v>초기 위험/이슈 관리 기준 반영</x:v>
      </x:c>
      <x:c r="F18" s="27" t="str">
        <x:v>PM</x:v>
      </x:c>
      <x:c r="G18" s="27" t="str">
        <x:v>미시작</x:v>
      </x:c>
      <x:c r="H18" s="27" t="str">
        <x:v>평가 기준/추적 방식</x:v>
      </x:c>
      <x:c r="I18" s="27" t="str">
        <x:v>Sprint 0 이후</x:v>
      </x:c>
      <x:c r="J18" s="27" t="str"/>
    </x:row>
    <x:row r="19">
      <x:c r="A19" s="27" t="str">
        <x:v>15</x:v>
      </x:c>
      <x:c r="B19" s="27" t="str">
        <x:v>형상관리 계획</x:v>
      </x:c>
      <x:c r="C19" s="27" t="str">
        <x:v>Tooling &amp; Access, 저장소 기준</x:v>
      </x:c>
      <x:c r="D19" s="27" t="str">
        <x:v>초안 가능</x:v>
      </x:c>
      <x:c r="E19" s="27" t="str">
        <x:v>문서/소스 저장소 기준 반영</x:v>
      </x:c>
      <x:c r="F19" s="27" t="str">
        <x:v>Tech Lead/QA</x:v>
      </x:c>
      <x:c r="G19" s="27" t="str">
        <x:v>미시작</x:v>
      </x:c>
      <x:c r="H19" s="27" t="str">
        <x:v>형상감사/Release 기준</x:v>
      </x:c>
      <x:c r="I19" s="27" t="str">
        <x:v>설계/개발</x:v>
      </x:c>
      <x:c r="J19" s="27" t="str"/>
    </x:row>
    <x:row r="20">
      <x:c r="A20" s="27" t="str">
        <x:v>16</x:v>
      </x:c>
      <x:c r="B20" s="27" t="str">
        <x:v>백업관리 계획</x:v>
      </x:c>
      <x:c r="C20" s="27" t="str">
        <x:v>Tooling &amp; Access</x:v>
      </x:c>
      <x:c r="D20" s="27" t="str">
        <x:v>일부 가능</x:v>
      </x:c>
      <x:c r="E20" s="27" t="str">
        <x:v>산출물/소스 백업 방향 반영</x:v>
      </x:c>
      <x:c r="F20" s="27" t="str">
        <x:v>DevOps/운영</x:v>
      </x:c>
      <x:c r="G20" s="27" t="str">
        <x:v>미시작</x:v>
      </x:c>
      <x:c r="H20" s="27" t="str">
        <x:v>시스템/운영 데이터 백업</x:v>
      </x:c>
      <x:c r="I20" s="27" t="str">
        <x:v>환경 확정 후</x:v>
      </x:c>
      <x:c r="J20" s="27" t="str"/>
    </x:row>
    <x:row r="21">
      <x:c r="A21" s="27" t="str">
        <x:v>17</x:v>
      </x:c>
      <x:c r="B21" s="27" t="str">
        <x:v>하도급관리 계획</x:v>
      </x:c>
      <x:c r="C21" s="27" t="str">
        <x:v>협력사 여부 확인</x:v>
      </x:c>
      <x:c r="D21" s="27" t="str">
        <x:v>별도 필요</x:v>
      </x:c>
      <x:c r="E21" s="27" t="str">
        <x:v>해당 여부 및 리스크만 확인</x:v>
      </x:c>
      <x:c r="F21" s="27" t="str">
        <x:v>사업관리/구매</x:v>
      </x:c>
      <x:c r="G21" s="27" t="str">
        <x:v>미시작</x:v>
      </x:c>
      <x:c r="H21" s="27" t="str">
        <x:v>계약/평가/법무 절차</x:v>
      </x:c>
      <x:c r="I21" s="27" t="str">
        <x:v>별도</x:v>
      </x:c>
      <x:c r="J21" s="27" t="str"/>
    </x:row>
    <x:row r="22">
      <x:c r="A22" s="27" t="str">
        <x:v>18</x:v>
      </x:c>
      <x:c r="B22" s="27" t="str">
        <x:v>보안 대책</x:v>
      </x:c>
      <x:c r="C22" s="27" t="str">
        <x:v>Access Matrix, Security Readiness</x:v>
      </x:c>
      <x:c r="D22" s="27" t="str">
        <x:v>초안 가능</x:v>
      </x:c>
      <x:c r="E22" s="27" t="str">
        <x:v>보안 담당/권한/자료관리 반영</x:v>
      </x:c>
      <x:c r="F22" s="27" t="str">
        <x:v>보안담당</x:v>
      </x:c>
      <x:c r="G22" s="27" t="str">
        <x:v>미시작</x:v>
      </x:c>
      <x:c r="H22" s="27" t="str">
        <x:v>상세 보안정책/취약점 점검</x:v>
      </x:c>
      <x:c r="I22" s="27" t="str">
        <x:v>보안검토</x:v>
      </x:c>
      <x:c r="J22" s="27" t="str"/>
    </x:row>
    <x:row r="23">
      <x:c r="A23" s="27" t="str">
        <x:v>19</x:v>
      </x:c>
      <x:c r="B23" s="27" t="str">
        <x:v>안전관리 계획</x:v>
      </x:c>
      <x:c r="C23" s="27" t="str">
        <x:v>현장작업 여부</x:v>
      </x:c>
      <x:c r="D23" s="27" t="str">
        <x:v>테일러링 필요</x:v>
      </x:c>
      <x:c r="E23" s="27" t="str">
        <x:v>적용 여부 판단</x:v>
      </x:c>
      <x:c r="F23" s="27" t="str">
        <x:v>안전관리자</x:v>
      </x:c>
      <x:c r="G23" s="27" t="str">
        <x:v>미시작</x:v>
      </x:c>
      <x:c r="H23" s="27" t="str">
        <x:v>현장 안전계획</x:v>
      </x:c>
      <x:c r="I23" s="27" t="str">
        <x:v>해당 시</x:v>
      </x:c>
      <x:c r="J23" s="27" t="str">
        <x:v>SW 중심이면 축소</x:v>
      </x:c>
    </x:row>
    <x:row r="24">
      <x:c r="A24" s="27" t="str">
        <x:v>20</x:v>
      </x:c>
      <x:c r="B24" s="27" t="str">
        <x:v>교육 계획</x:v>
      </x:c>
      <x:c r="C24" s="27" t="str">
        <x:v>Team Onboarding, 전환 준비</x:v>
      </x:c>
      <x:c r="D24" s="27" t="str">
        <x:v>초안 가능</x:v>
      </x:c>
      <x:c r="E24" s="27" t="str">
        <x:v>교육 대상/시점/방향 반영</x:v>
      </x:c>
      <x:c r="F24" s="27" t="str">
        <x:v>PM/운영</x:v>
      </x:c>
      <x:c r="G24" s="27" t="str">
        <x:v>미시작</x:v>
      </x:c>
      <x:c r="H24" s="27" t="str">
        <x:v>상세 커리큘럼/교재</x:v>
      </x:c>
      <x:c r="I24" s="27" t="str">
        <x:v>구축/이행</x:v>
      </x:c>
      <x:c r="J24" s="27" t="str"/>
    </x:row>
    <x:row r="25">
      <x:c r="A25" s="27" t="str">
        <x:v>21</x:v>
      </x:c>
      <x:c r="B25" s="27" t="str">
        <x:v>유지보수 계획</x:v>
      </x:c>
      <x:c r="C25" s="27" t="str">
        <x:v>Launch/Transition Readiness</x:v>
      </x:c>
      <x:c r="D25" s="27" t="str">
        <x:v>일부 가능</x:v>
      </x:c>
      <x:c r="E25" s="27" t="str">
        <x:v>계약상 지원조건/운영전환 방향 반영</x:v>
      </x:c>
      <x:c r="F25" s="27" t="str">
        <x:v>PM/운영</x:v>
      </x:c>
      <x:c r="G25" s="27" t="str">
        <x:v>미시작</x:v>
      </x:c>
      <x:c r="H25" s="27" t="str">
        <x:v>SLA/Runbook/장애등급</x:v>
      </x:c>
      <x:c r="I25" s="27" t="str">
        <x:v>후반부</x:v>
      </x:c>
      <x:c r="J25" s="27" t="str"/>
    </x:row>
  </x:sheetData>
  <x:mergeCells>
    <x:mergeCell ref="A1:J1"/>
    <x:mergeCell ref="A2:J2"/>
  </x:mergeCells>
  <x:dataValidations count="2">
    <x:dataValidation type="list" sqref="D5:D25">
      <x:formula1>"확정 가능,초안 가능,일부 가능,별도 필요,테일러링 필요"</x:formula1>
    </x:dataValidation>
    <x:dataValidation type="list" sqref="G5:G25">
      <x:formula1>"미시작,진행중,완료,지연,미완료,예외승인,해당없음"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b6dc214b36429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8" hidden="0" customWidth="1"/>
    <x:col min="5" max="5" width="8" hidden="0" customWidth="1"/>
    <x:col min="6" max="6" width="10" hidden="0" customWidth="1"/>
    <x:col min="7" max="7" width="18" hidden="0" customWidth="1"/>
    <x:col min="8" max="8" width="16" hidden="0" customWidth="1"/>
    <x:col min="9" max="9" width="10" hidden="0" customWidth="1"/>
  </x:cols>
  <x:sheetData>
    <x:row r="1" ht="28" customHeight="1">
      <x:c r="A1" s="42" t="str">
        <x:v>공통 코드 목록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34" customHeight="1">
      <x:c r="A2" s="12" t="str">
        <x:v>데이터 유효성 검사용 공통 목록입니다.</x:v>
      </x:c>
    </x:row>
    <x:row r="4">
      <x:c r="A4" s="20" t="str">
        <x:v>Status</x:v>
      </x:c>
      <x:c r="B4" s="20" t="str">
        <x:v>Level</x:v>
      </x:c>
      <x:c r="C4" s="20" t="str">
        <x:v>Priority</x:v>
      </x:c>
      <x:c r="D4" s="20" t="str">
        <x:v>YN</x:v>
      </x:c>
      <x:c r="E4" s="20" t="str">
        <x:v>RACI</x:v>
      </x:c>
      <x:c r="F4" s="20" t="str">
        <x:v>Scope</x:v>
      </x:c>
      <x:c r="G4" s="20" t="str">
        <x:v>Judgement</x:v>
      </x:c>
      <x:c r="H4" s="20" t="str">
        <x:v>RAID Type</x:v>
      </x:c>
      <x:c r="I4" s="20" t="str">
        <x:v>Impact</x:v>
      </x:c>
    </x:row>
    <x:row r="5">
      <x:c r="A5" t="str">
        <x:v>미시작</x:v>
      </x:c>
      <x:c r="B5" t="str">
        <x:v>확정 가능</x:v>
      </x:c>
      <x:c r="C5" t="str">
        <x:v>High</x:v>
      </x:c>
      <x:c r="D5" t="str">
        <x:v>Y</x:v>
      </x:c>
      <x:c r="E5" t="str">
        <x:v>R</x:v>
      </x:c>
      <x:c r="F5" t="str">
        <x:v>In</x:v>
      </x:c>
      <x:c r="G5" t="str">
        <x:v>Go</x:v>
      </x:c>
      <x:c r="H5" t="str">
        <x:v>Risk</x:v>
      </x:c>
      <x:c r="I5" t="str">
        <x:v>상</x:v>
      </x:c>
    </x:row>
    <x:row r="6">
      <x:c r="A6" t="str">
        <x:v>진행중</x:v>
      </x:c>
      <x:c r="B6" t="str">
        <x:v>초안 가능</x:v>
      </x:c>
      <x:c r="C6" t="str">
        <x:v>Medium</x:v>
      </x:c>
      <x:c r="D6" t="str">
        <x:v>N</x:v>
      </x:c>
      <x:c r="E6" t="str">
        <x:v>A</x:v>
      </x:c>
      <x:c r="F6" t="str">
        <x:v>Out</x:v>
      </x:c>
      <x:c r="G6" t="str">
        <x:v>Conditional Go</x:v>
      </x:c>
      <x:c r="H6" t="str">
        <x:v>Assumption</x:v>
      </x:c>
      <x:c r="I6" t="str">
        <x:v>중</x:v>
      </x:c>
    </x:row>
    <x:row r="7">
      <x:c r="A7" t="str">
        <x:v>완료</x:v>
      </x:c>
      <x:c r="B7" t="str">
        <x:v>일부 가능</x:v>
      </x:c>
      <x:c r="C7" t="str">
        <x:v>Low</x:v>
      </x:c>
      <x:c r="D7" t="str"/>
      <x:c r="E7" t="str">
        <x:v>C</x:v>
      </x:c>
      <x:c r="F7" t="str">
        <x:v>TBD</x:v>
      </x:c>
      <x:c r="G7" t="str">
        <x:v>No-Go</x:v>
      </x:c>
      <x:c r="H7" t="str">
        <x:v>Issue</x:v>
      </x:c>
      <x:c r="I7" t="str">
        <x:v>하</x:v>
      </x:c>
    </x:row>
    <x:row r="8">
      <x:c r="A8" t="str">
        <x:v>지연</x:v>
      </x:c>
      <x:c r="B8" t="str">
        <x:v>별도 필요</x:v>
      </x:c>
      <x:c r="C8" t="str"/>
      <x:c r="D8" t="str"/>
      <x:c r="E8" t="str">
        <x:v>I</x:v>
      </x:c>
      <x:c r="F8" t="str"/>
      <x:c r="G8" t="str"/>
      <x:c r="H8" t="str">
        <x:v>Dependency</x:v>
      </x:c>
      <x:c r="I8" t="str"/>
    </x:row>
    <x:row r="9">
      <x:c r="A9" t="str">
        <x:v>미완료</x:v>
      </x:c>
      <x:c r="B9" t="str">
        <x:v>테일러링 필요</x:v>
      </x:c>
      <x:c r="C9" t="str"/>
      <x:c r="D9" t="str"/>
      <x:c r="E9" t="str">
        <x:v>-</x:v>
      </x:c>
      <x:c r="F9" t="str"/>
      <x:c r="G9" t="str"/>
      <x:c r="H9" t="str">
        <x:v>Decision</x:v>
      </x:c>
      <x:c r="I9" t="str"/>
    </x:row>
    <x:row r="10">
      <x:c r="A10" t="str">
        <x:v>예외승인</x:v>
      </x:c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>
        <x:v>해당없음</x:v>
      </x:c>
      <x:c r="B11" t="str"/>
      <x:c r="C11" t="str"/>
      <x:c r="D11" t="str"/>
      <x:c r="E11" t="str"/>
      <x:c r="F11" t="str"/>
      <x:c r="G11" t="str"/>
      <x:c r="H11" t="str"/>
      <x:c r="I11" t="str"/>
    </x:row>
  </x:sheetData>
  <x:mergeCells>
    <x:mergeCell ref="A1:D1"/>
    <x:mergeCell ref="A2:D2"/>
  </x:mergeCells>
  <x:pageMargins left="0.7" right="0.7" top="0.75" bottom="0.75" header="0.3" footer="0.3"/>
</x:worksheet>
</file>